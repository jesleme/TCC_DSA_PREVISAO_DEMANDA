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TCC\BASE_DADOS\"/>
    </mc:Choice>
  </mc:AlternateContent>
  <xr:revisionPtr revIDLastSave="0" documentId="13_ncr:1_{B95EF408-7D7C-4C75-9F6E-BC3BEF157A6F}" xr6:coauthVersionLast="47" xr6:coauthVersionMax="47" xr10:uidLastSave="{00000000-0000-0000-0000-000000000000}"/>
  <bookViews>
    <workbookView xWindow="21480" yWindow="-120" windowWidth="29040" windowHeight="15840" xr2:uid="{00000000-000D-0000-FFFF-FFFF00000000}"/>
  </bookViews>
  <sheets>
    <sheet name="MÉTRICAS" sheetId="5" r:id="rId1"/>
    <sheet name="PREVISAO_01" sheetId="1" r:id="rId2"/>
    <sheet name="PREVISAO_02" sheetId="2" r:id="rId3"/>
    <sheet name="PREVISAO_03" sheetId="3" r:id="rId4"/>
  </sheets>
  <calcPr calcId="191029"/>
</workbook>
</file>

<file path=xl/calcChain.xml><?xml version="1.0" encoding="utf-8"?>
<calcChain xmlns="http://schemas.openxmlformats.org/spreadsheetml/2006/main">
  <c r="Y19" i="5" l="1"/>
  <c r="X19" i="5"/>
  <c r="W19" i="5"/>
  <c r="V19" i="5"/>
  <c r="U19" i="5"/>
  <c r="Y18" i="5"/>
  <c r="X18" i="5"/>
  <c r="W18" i="5"/>
  <c r="V18" i="5"/>
  <c r="U18" i="5"/>
  <c r="Y17" i="5"/>
  <c r="X17" i="5"/>
  <c r="W17" i="5"/>
  <c r="V17" i="5"/>
  <c r="U17" i="5"/>
  <c r="Y16" i="5"/>
  <c r="X16" i="5"/>
  <c r="W16" i="5"/>
  <c r="V16" i="5"/>
  <c r="U16" i="5"/>
  <c r="Y15" i="5"/>
  <c r="X15" i="5"/>
  <c r="W15" i="5"/>
  <c r="V15" i="5"/>
  <c r="U15" i="5"/>
  <c r="Y14" i="5"/>
  <c r="X14" i="5"/>
  <c r="W14" i="5"/>
  <c r="V14" i="5"/>
  <c r="U14" i="5"/>
  <c r="Y13" i="5"/>
  <c r="X13" i="5"/>
  <c r="W13" i="5"/>
  <c r="V13" i="5"/>
  <c r="U13" i="5"/>
  <c r="Y12" i="5"/>
  <c r="X12" i="5"/>
  <c r="W12" i="5"/>
  <c r="V12" i="5"/>
  <c r="U12" i="5"/>
  <c r="Y11" i="5"/>
  <c r="X11" i="5"/>
  <c r="W11" i="5"/>
  <c r="V11" i="5"/>
  <c r="U11" i="5"/>
  <c r="Y10" i="5"/>
  <c r="X10" i="5"/>
  <c r="W10" i="5"/>
  <c r="V10" i="5"/>
  <c r="U10" i="5"/>
  <c r="Y9" i="5"/>
  <c r="X9" i="5"/>
  <c r="W9" i="5"/>
  <c r="V9" i="5"/>
  <c r="U9" i="5"/>
  <c r="Y8" i="5"/>
  <c r="X8" i="5"/>
  <c r="W8" i="5"/>
  <c r="V8" i="5"/>
  <c r="U8" i="5"/>
  <c r="Y7" i="5"/>
  <c r="X7" i="5"/>
  <c r="W7" i="5"/>
  <c r="V7" i="5"/>
  <c r="U7" i="5"/>
  <c r="Y6" i="5"/>
  <c r="X6" i="5"/>
  <c r="W6" i="5"/>
  <c r="V6" i="5"/>
  <c r="U6" i="5"/>
  <c r="Y5" i="5"/>
  <c r="X5" i="5"/>
  <c r="W5" i="5"/>
  <c r="V5" i="5"/>
  <c r="U5" i="5"/>
  <c r="Y4" i="5"/>
  <c r="X4" i="5"/>
  <c r="W4" i="5"/>
  <c r="V4" i="5"/>
  <c r="U4" i="5"/>
  <c r="Y3" i="5"/>
  <c r="X3" i="5"/>
  <c r="W3" i="5"/>
  <c r="V3" i="5"/>
  <c r="U3" i="5"/>
  <c r="Q19" i="5"/>
  <c r="P19" i="5"/>
  <c r="O19" i="5"/>
  <c r="N19" i="5"/>
  <c r="M19" i="5"/>
  <c r="Q18" i="5"/>
  <c r="P18" i="5"/>
  <c r="O18" i="5"/>
  <c r="N18" i="5"/>
  <c r="M18" i="5"/>
  <c r="Q17" i="5"/>
  <c r="P17" i="5"/>
  <c r="O17" i="5"/>
  <c r="N17" i="5"/>
  <c r="M17" i="5"/>
  <c r="Q16" i="5"/>
  <c r="P16" i="5"/>
  <c r="O16" i="5"/>
  <c r="N16" i="5"/>
  <c r="M16" i="5"/>
  <c r="Q15" i="5"/>
  <c r="P15" i="5"/>
  <c r="O15" i="5"/>
  <c r="N15" i="5"/>
  <c r="M15" i="5"/>
  <c r="Q14" i="5"/>
  <c r="P14" i="5"/>
  <c r="O14" i="5"/>
  <c r="N14" i="5"/>
  <c r="M14" i="5"/>
  <c r="Q13" i="5"/>
  <c r="P13" i="5"/>
  <c r="O13" i="5"/>
  <c r="N13" i="5"/>
  <c r="M13" i="5"/>
  <c r="Q12" i="5"/>
  <c r="P12" i="5"/>
  <c r="O12" i="5"/>
  <c r="N12" i="5"/>
  <c r="M12" i="5"/>
  <c r="Q11" i="5"/>
  <c r="P11" i="5"/>
  <c r="O11" i="5"/>
  <c r="N11" i="5"/>
  <c r="M11" i="5"/>
  <c r="Q10" i="5"/>
  <c r="P10" i="5"/>
  <c r="O10" i="5"/>
  <c r="N10" i="5"/>
  <c r="M10" i="5"/>
  <c r="Q9" i="5"/>
  <c r="P9" i="5"/>
  <c r="O9" i="5"/>
  <c r="N9" i="5"/>
  <c r="M9" i="5"/>
  <c r="Q8" i="5"/>
  <c r="P8" i="5"/>
  <c r="O8" i="5"/>
  <c r="N8" i="5"/>
  <c r="M8" i="5"/>
  <c r="Q7" i="5"/>
  <c r="P7" i="5"/>
  <c r="O7" i="5"/>
  <c r="N7" i="5"/>
  <c r="M7" i="5"/>
  <c r="Q6" i="5"/>
  <c r="P6" i="5"/>
  <c r="O6" i="5"/>
  <c r="N6" i="5"/>
  <c r="M6" i="5"/>
  <c r="Q5" i="5"/>
  <c r="P5" i="5"/>
  <c r="O5" i="5"/>
  <c r="N5" i="5"/>
  <c r="M5" i="5"/>
  <c r="Q4" i="5"/>
  <c r="P4" i="5"/>
  <c r="O4" i="5"/>
  <c r="N4" i="5"/>
  <c r="M4" i="5"/>
  <c r="Q3" i="5"/>
  <c r="P3" i="5"/>
  <c r="O3" i="5"/>
  <c r="N3" i="5"/>
  <c r="M3" i="5"/>
  <c r="D10" i="5"/>
  <c r="E10" i="5"/>
  <c r="F10" i="5"/>
  <c r="G10" i="5"/>
  <c r="H10" i="5"/>
  <c r="D11" i="5"/>
  <c r="E11" i="5"/>
  <c r="F11" i="5"/>
  <c r="G11" i="5"/>
  <c r="H11" i="5"/>
  <c r="D12" i="5"/>
  <c r="E12" i="5"/>
  <c r="F12" i="5"/>
  <c r="G12" i="5"/>
  <c r="H12" i="5"/>
  <c r="D13" i="5"/>
  <c r="E13" i="5"/>
  <c r="F13" i="5"/>
  <c r="G13" i="5"/>
  <c r="H13" i="5"/>
  <c r="D14" i="5"/>
  <c r="E14" i="5"/>
  <c r="F14" i="5"/>
  <c r="G14" i="5"/>
  <c r="H14" i="5"/>
  <c r="D15" i="5"/>
  <c r="E15" i="5"/>
  <c r="F15" i="5"/>
  <c r="G15" i="5"/>
  <c r="H15" i="5"/>
  <c r="D16" i="5"/>
  <c r="E16" i="5"/>
  <c r="F16" i="5"/>
  <c r="G16" i="5"/>
  <c r="H16" i="5"/>
  <c r="D17" i="5"/>
  <c r="E17" i="5"/>
  <c r="F17" i="5"/>
  <c r="G17" i="5"/>
  <c r="H17" i="5"/>
  <c r="D18" i="5"/>
  <c r="E18" i="5"/>
  <c r="F18" i="5"/>
  <c r="G18" i="5"/>
  <c r="H18" i="5"/>
  <c r="D19" i="5"/>
  <c r="E19" i="5"/>
  <c r="F19" i="5"/>
  <c r="G19" i="5"/>
  <c r="H19" i="5"/>
  <c r="H9" i="5"/>
  <c r="G9" i="5"/>
  <c r="F9" i="5"/>
  <c r="E9" i="5"/>
  <c r="D9" i="5"/>
  <c r="H8" i="5"/>
  <c r="G8" i="5"/>
  <c r="F8" i="5"/>
  <c r="E8" i="5"/>
  <c r="D8" i="5"/>
  <c r="H7" i="5"/>
  <c r="G7" i="5"/>
  <c r="F7" i="5"/>
  <c r="E7" i="5"/>
  <c r="D7" i="5"/>
  <c r="H6" i="5"/>
  <c r="G6" i="5"/>
  <c r="F6" i="5"/>
  <c r="E6" i="5"/>
  <c r="D6" i="5"/>
  <c r="H5" i="5"/>
  <c r="G5" i="5"/>
  <c r="F5" i="5"/>
  <c r="E5" i="5"/>
  <c r="D5" i="5"/>
  <c r="H4" i="5"/>
  <c r="G4" i="5"/>
  <c r="F4" i="5"/>
  <c r="E4" i="5"/>
  <c r="D4" i="5"/>
  <c r="H3" i="5"/>
  <c r="G3" i="5"/>
  <c r="F3" i="5"/>
  <c r="E3" i="5"/>
  <c r="D3" i="5"/>
  <c r="C25" i="5" l="1"/>
  <c r="C24" i="5"/>
  <c r="C22" i="5"/>
  <c r="C23" i="5"/>
  <c r="C26" i="5"/>
  <c r="T25" i="5"/>
  <c r="T26" i="5"/>
  <c r="T24" i="5"/>
  <c r="T23" i="5"/>
  <c r="T22" i="5"/>
  <c r="L22" i="5"/>
  <c r="L23" i="5"/>
  <c r="L25" i="5"/>
  <c r="L26" i="5"/>
  <c r="L24" i="5"/>
</calcChain>
</file>

<file path=xl/sharedStrings.xml><?xml version="1.0" encoding="utf-8"?>
<sst xmlns="http://schemas.openxmlformats.org/spreadsheetml/2006/main" count="88" uniqueCount="31">
  <si>
    <t>Point Forecast</t>
  </si>
  <si>
    <t>Lo 80</t>
  </si>
  <si>
    <t>Hi 80</t>
  </si>
  <si>
    <t>Lo 95</t>
  </si>
  <si>
    <t>Hi 95</t>
  </si>
  <si>
    <t xml:space="preserve">Previsto </t>
  </si>
  <si>
    <t>Realizado</t>
  </si>
  <si>
    <t>Diferença</t>
  </si>
  <si>
    <t>Dif. Abs.</t>
  </si>
  <si>
    <t>Dif. Quad.</t>
  </si>
  <si>
    <t>Erro %</t>
  </si>
  <si>
    <t>Erro % abs</t>
  </si>
  <si>
    <t>ME</t>
  </si>
  <si>
    <t>MAE</t>
  </si>
  <si>
    <t>RMSE</t>
  </si>
  <si>
    <t>MPE</t>
  </si>
  <si>
    <t>MAPE</t>
  </si>
  <si>
    <t>Mean Absolute Percentege Error</t>
  </si>
  <si>
    <t>Mean Percentege Error</t>
  </si>
  <si>
    <t>Root Mean Squared Error</t>
  </si>
  <si>
    <t>Mean Absolute Error</t>
  </si>
  <si>
    <t>Mean Error</t>
  </si>
  <si>
    <t>diferença absoluta percentual de erro</t>
  </si>
  <si>
    <t>diferença percentual de erro</t>
  </si>
  <si>
    <t>devio padrão da amostra da diferença entre o previsto e o teste</t>
  </si>
  <si>
    <t>a média da diferença absoluta entre o realizado e o previsto</t>
  </si>
  <si>
    <t>média da diferença entre realizado e previsto</t>
  </si>
  <si>
    <t>MODELO_01</t>
  </si>
  <si>
    <t>MODELO_02</t>
  </si>
  <si>
    <t>MODELO_03</t>
  </si>
  <si>
    <t>Mês_Ano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</si>
</sst>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/>
    </xf>
    <xf numFmtId="17" fontId="0" fillId="0" borderId="0" xfId="0" applyNumberFormat="1"/>
    <xf numFmtId="0" fontId="1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3" fontId="0" fillId="0" borderId="1" xfId="0" applyNumberFormat="1" applyBorder="1"/>
    <xf numFmtId="3" fontId="0" fillId="2" borderId="1" xfId="0" applyNumberFormat="1" applyFill="1" applyBorder="1"/>
    <xf numFmtId="3" fontId="0" fillId="3" borderId="1" xfId="0" applyNumberFormat="1" applyFill="1" applyBorder="1"/>
    <xf numFmtId="3" fontId="0" fillId="4" borderId="1" xfId="0" applyNumberFormat="1" applyFill="1" applyBorder="1"/>
    <xf numFmtId="3" fontId="0" fillId="5" borderId="1" xfId="0" applyNumberFormat="1" applyFill="1" applyBorder="1"/>
    <xf numFmtId="3" fontId="0" fillId="6" borderId="1" xfId="0" applyNumberFormat="1" applyFill="1" applyBorder="1"/>
    <xf numFmtId="0" fontId="3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1" fillId="0" borderId="0" xfId="0" applyFont="1" applyFill="1" applyBorder="1"/>
    <xf numFmtId="3" fontId="0" fillId="0" borderId="0" xfId="0" applyNumberFormat="1" applyFill="1" applyBorder="1"/>
    <xf numFmtId="0" fontId="3" fillId="0" borderId="0" xfId="0" applyFont="1" applyBorder="1" applyAlignment="1">
      <alignment horizontal="center" vertical="center"/>
    </xf>
    <xf numFmtId="17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66D6D-0F83-4152-9CC9-92F75AB628AC}">
  <dimension ref="B1:Y50"/>
  <sheetViews>
    <sheetView showGridLines="0" tabSelected="1" zoomScaleNormal="100" workbookViewId="0">
      <selection activeCell="C33" sqref="C33"/>
    </sheetView>
  </sheetViews>
  <sheetFormatPr defaultRowHeight="15" x14ac:dyDescent="0.25"/>
  <cols>
    <col min="1" max="1" width="2.5703125" customWidth="1"/>
    <col min="3" max="3" width="12" bestFit="1" customWidth="1"/>
    <col min="4" max="4" width="5.28515625" customWidth="1"/>
    <col min="5" max="5" width="8.42578125" bestFit="1" customWidth="1"/>
    <col min="6" max="6" width="9.85546875" bestFit="1" customWidth="1"/>
    <col min="7" max="7" width="6.5703125" bestFit="1" customWidth="1"/>
    <col min="8" max="9" width="8" customWidth="1"/>
    <col min="10" max="10" width="12" bestFit="1" customWidth="1"/>
    <col min="17" max="17" width="10.5703125" bestFit="1" customWidth="1"/>
    <col min="18" max="18" width="6.28515625" customWidth="1"/>
  </cols>
  <sheetData>
    <row r="1" spans="2:25" ht="38.25" customHeight="1" x14ac:dyDescent="0.25">
      <c r="B1" s="20" t="s">
        <v>27</v>
      </c>
      <c r="C1" s="20"/>
      <c r="D1" s="20"/>
      <c r="E1" s="20"/>
      <c r="F1" s="20"/>
      <c r="G1" s="20"/>
      <c r="H1" s="20"/>
      <c r="I1" s="24"/>
      <c r="J1" s="20" t="s">
        <v>28</v>
      </c>
      <c r="K1" s="20"/>
      <c r="L1" s="20"/>
      <c r="M1" s="20"/>
      <c r="N1" s="20"/>
      <c r="O1" s="20"/>
      <c r="P1" s="20"/>
      <c r="Q1" s="20"/>
      <c r="S1" s="20" t="s">
        <v>29</v>
      </c>
      <c r="T1" s="20"/>
      <c r="U1" s="20"/>
      <c r="V1" s="20"/>
      <c r="W1" s="20"/>
      <c r="X1" s="20"/>
      <c r="Y1" s="20"/>
    </row>
    <row r="2" spans="2:25" x14ac:dyDescent="0.25">
      <c r="B2" s="3" t="s">
        <v>5</v>
      </c>
      <c r="C2" s="3" t="s">
        <v>6</v>
      </c>
      <c r="D2" s="4" t="s">
        <v>7</v>
      </c>
      <c r="E2" s="5" t="s">
        <v>8</v>
      </c>
      <c r="F2" s="6" t="s">
        <v>9</v>
      </c>
      <c r="G2" s="7" t="s">
        <v>10</v>
      </c>
      <c r="H2" s="8" t="s">
        <v>11</v>
      </c>
      <c r="I2" s="22"/>
      <c r="J2" s="3" t="s">
        <v>30</v>
      </c>
      <c r="K2" s="3" t="s">
        <v>5</v>
      </c>
      <c r="L2" s="3" t="s">
        <v>6</v>
      </c>
      <c r="M2" s="4" t="s">
        <v>7</v>
      </c>
      <c r="N2" s="5" t="s">
        <v>8</v>
      </c>
      <c r="O2" s="6" t="s">
        <v>9</v>
      </c>
      <c r="P2" s="7" t="s">
        <v>10</v>
      </c>
      <c r="Q2" s="8" t="s">
        <v>11</v>
      </c>
      <c r="S2" s="3" t="s">
        <v>5</v>
      </c>
      <c r="T2" s="3" t="s">
        <v>6</v>
      </c>
      <c r="U2" s="4" t="s">
        <v>7</v>
      </c>
      <c r="V2" s="5" t="s">
        <v>8</v>
      </c>
      <c r="W2" s="6" t="s">
        <v>9</v>
      </c>
      <c r="X2" s="7" t="s">
        <v>10</v>
      </c>
      <c r="Y2" s="8" t="s">
        <v>11</v>
      </c>
    </row>
    <row r="3" spans="2:25" x14ac:dyDescent="0.25">
      <c r="B3" s="14">
        <v>1287.0179217664779</v>
      </c>
      <c r="C3" s="14">
        <v>1112</v>
      </c>
      <c r="D3" s="15">
        <f>C3-B3</f>
        <v>-175.01792176647791</v>
      </c>
      <c r="E3" s="16">
        <f>ABS(C3-B3)</f>
        <v>175.01792176647791</v>
      </c>
      <c r="F3" s="17">
        <f>POWER(B3-C3,2)</f>
        <v>30631.272939456983</v>
      </c>
      <c r="G3" s="18">
        <f>(C3-B3)/C3*100</f>
        <v>-15.73902174158974</v>
      </c>
      <c r="H3" s="19">
        <f>ABS(C3-B3)/C3*100</f>
        <v>15.73902174158974</v>
      </c>
      <c r="I3" s="23"/>
      <c r="J3" s="25">
        <v>44562</v>
      </c>
      <c r="K3" s="14">
        <v>1453.1804103520831</v>
      </c>
      <c r="L3" s="14">
        <v>1112</v>
      </c>
      <c r="M3" s="15">
        <f>L3-K3</f>
        <v>-341.18041035208307</v>
      </c>
      <c r="N3" s="16">
        <f>ABS(L3-K3)</f>
        <v>341.18041035208307</v>
      </c>
      <c r="O3" s="17">
        <f>POWER(K3-L3,2)</f>
        <v>116404.0724080158</v>
      </c>
      <c r="P3" s="18">
        <f>(L3-K3)/L3*100</f>
        <v>-30.681691578424736</v>
      </c>
      <c r="Q3" s="19">
        <f>ABS(L3-K3)/L3*100</f>
        <v>30.681691578424736</v>
      </c>
      <c r="S3" s="14">
        <v>1353.2323515950591</v>
      </c>
      <c r="T3" s="14">
        <v>1112</v>
      </c>
      <c r="U3" s="15">
        <f>T3-S3</f>
        <v>-241.23235159505907</v>
      </c>
      <c r="V3" s="16">
        <f>ABS(T3-S3)</f>
        <v>241.23235159505907</v>
      </c>
      <c r="W3" s="17">
        <f>POWER(S3-T3,2)</f>
        <v>58193.047456082197</v>
      </c>
      <c r="X3" s="18">
        <f>(T3-S3)/T3*100</f>
        <v>-21.693556798116823</v>
      </c>
      <c r="Y3" s="19">
        <f>ABS(T3-S3)/T3*100</f>
        <v>21.693556798116823</v>
      </c>
    </row>
    <row r="4" spans="2:25" x14ac:dyDescent="0.25">
      <c r="B4" s="14">
        <v>1177.517173950886</v>
      </c>
      <c r="C4" s="14">
        <v>1147</v>
      </c>
      <c r="D4" s="15">
        <f t="shared" ref="D4:D9" si="0">C4-B4</f>
        <v>-30.51717395088599</v>
      </c>
      <c r="E4" s="16">
        <f t="shared" ref="E4:E9" si="1">ABS(C4-B4)</f>
        <v>30.51717395088599</v>
      </c>
      <c r="F4" s="17">
        <f t="shared" ref="F4:F9" si="2">POWER(B4-C4,2)</f>
        <v>931.29790594863448</v>
      </c>
      <c r="G4" s="18">
        <f t="shared" ref="G4:G9" si="3">(C4-B4)/C4*100</f>
        <v>-2.6606080166421959</v>
      </c>
      <c r="H4" s="19">
        <f t="shared" ref="H4:H9" si="4">ABS(C4-B4)/C4*100</f>
        <v>2.6606080166421959</v>
      </c>
      <c r="I4" s="23"/>
      <c r="J4" s="25">
        <v>44593</v>
      </c>
      <c r="K4" s="14">
        <v>1357.217545422996</v>
      </c>
      <c r="L4" s="14">
        <v>1147</v>
      </c>
      <c r="M4" s="15">
        <f t="shared" ref="M4:M19" si="5">L4-K4</f>
        <v>-210.21754542299595</v>
      </c>
      <c r="N4" s="16">
        <f t="shared" ref="N4:N19" si="6">ABS(L4-K4)</f>
        <v>210.21754542299595</v>
      </c>
      <c r="O4" s="17">
        <f t="shared" ref="O4:O19" si="7">POWER(K4-L4,2)</f>
        <v>44191.416403669369</v>
      </c>
      <c r="P4" s="18">
        <f t="shared" ref="P4:P19" si="8">(L4-K4)/L4*100</f>
        <v>-18.327597682911591</v>
      </c>
      <c r="Q4" s="19">
        <f t="shared" ref="Q4:Q19" si="9">ABS(L4-K4)/L4*100</f>
        <v>18.327597682911591</v>
      </c>
      <c r="S4" s="14">
        <v>1306.1999494991419</v>
      </c>
      <c r="T4" s="14">
        <v>1147</v>
      </c>
      <c r="U4" s="15">
        <f t="shared" ref="U4:U19" si="10">T4-S4</f>
        <v>-159.19994949914189</v>
      </c>
      <c r="V4" s="16">
        <f t="shared" ref="V4:V19" si="11">ABS(T4-S4)</f>
        <v>159.19994949914189</v>
      </c>
      <c r="W4" s="17">
        <f t="shared" ref="W4:W19" si="12">POWER(S4-T4,2)</f>
        <v>25344.623920529328</v>
      </c>
      <c r="X4" s="18">
        <f t="shared" ref="X4:X19" si="13">(T4-S4)/T4*100</f>
        <v>-13.879681734885954</v>
      </c>
      <c r="Y4" s="19">
        <f t="shared" ref="Y4:Y19" si="14">ABS(T4-S4)/T4*100</f>
        <v>13.879681734885954</v>
      </c>
    </row>
    <row r="5" spans="2:25" x14ac:dyDescent="0.25">
      <c r="B5" s="14">
        <v>823.4941875304628</v>
      </c>
      <c r="C5" s="14">
        <v>1339</v>
      </c>
      <c r="D5" s="15">
        <f t="shared" si="0"/>
        <v>515.5058124695372</v>
      </c>
      <c r="E5" s="16">
        <f t="shared" si="1"/>
        <v>515.5058124695372</v>
      </c>
      <c r="F5" s="17">
        <f t="shared" si="2"/>
        <v>265746.24268987763</v>
      </c>
      <c r="G5" s="18">
        <f t="shared" si="3"/>
        <v>38.499313851347068</v>
      </c>
      <c r="H5" s="19">
        <f t="shared" si="4"/>
        <v>38.499313851347068</v>
      </c>
      <c r="I5" s="23"/>
      <c r="J5" s="25">
        <v>44621</v>
      </c>
      <c r="K5" s="14">
        <v>1147.7488026626049</v>
      </c>
      <c r="L5" s="14">
        <v>1339</v>
      </c>
      <c r="M5" s="15">
        <f t="shared" si="5"/>
        <v>191.25119733739507</v>
      </c>
      <c r="N5" s="16">
        <f t="shared" si="6"/>
        <v>191.25119733739507</v>
      </c>
      <c r="O5" s="17">
        <f t="shared" si="7"/>
        <v>36577.020482987231</v>
      </c>
      <c r="P5" s="18">
        <f t="shared" si="8"/>
        <v>14.283136470305829</v>
      </c>
      <c r="Q5" s="19">
        <f t="shared" si="9"/>
        <v>14.283136470305829</v>
      </c>
      <c r="S5" s="14">
        <v>938.56394299462136</v>
      </c>
      <c r="T5" s="14">
        <v>1339</v>
      </c>
      <c r="U5" s="15">
        <f t="shared" si="10"/>
        <v>400.43605700537864</v>
      </c>
      <c r="V5" s="16">
        <f t="shared" si="11"/>
        <v>400.43605700537864</v>
      </c>
      <c r="W5" s="17">
        <f t="shared" si="12"/>
        <v>160349.03575001485</v>
      </c>
      <c r="X5" s="18">
        <f t="shared" si="13"/>
        <v>29.905605452231416</v>
      </c>
      <c r="Y5" s="19">
        <f t="shared" si="14"/>
        <v>29.905605452231416</v>
      </c>
    </row>
    <row r="6" spans="2:25" x14ac:dyDescent="0.25">
      <c r="B6" s="14">
        <v>815.15578287475751</v>
      </c>
      <c r="C6" s="14">
        <v>1457</v>
      </c>
      <c r="D6" s="15">
        <f t="shared" si="0"/>
        <v>641.84421712524249</v>
      </c>
      <c r="E6" s="16">
        <f t="shared" si="1"/>
        <v>641.84421712524249</v>
      </c>
      <c r="F6" s="17">
        <f t="shared" si="2"/>
        <v>411963.9990571154</v>
      </c>
      <c r="G6" s="18">
        <f t="shared" si="3"/>
        <v>44.0524514155966</v>
      </c>
      <c r="H6" s="19">
        <f t="shared" si="4"/>
        <v>44.0524514155966</v>
      </c>
      <c r="I6" s="23"/>
      <c r="J6" s="25">
        <v>44652</v>
      </c>
      <c r="K6" s="14">
        <v>1123.7028857124731</v>
      </c>
      <c r="L6" s="14">
        <v>1457</v>
      </c>
      <c r="M6" s="15">
        <f t="shared" si="5"/>
        <v>333.29711428752694</v>
      </c>
      <c r="N6" s="16">
        <f t="shared" si="6"/>
        <v>333.29711428752694</v>
      </c>
      <c r="O6" s="17">
        <f t="shared" si="7"/>
        <v>111086.96639239279</v>
      </c>
      <c r="P6" s="18">
        <f t="shared" si="8"/>
        <v>22.875574076014203</v>
      </c>
      <c r="Q6" s="19">
        <f t="shared" si="9"/>
        <v>22.875574076014203</v>
      </c>
      <c r="S6" s="14">
        <v>900.84834578346931</v>
      </c>
      <c r="T6" s="14">
        <v>1457</v>
      </c>
      <c r="U6" s="15">
        <f t="shared" si="10"/>
        <v>556.15165421653069</v>
      </c>
      <c r="V6" s="16">
        <f t="shared" si="11"/>
        <v>556.15165421653069</v>
      </c>
      <c r="W6" s="17">
        <f t="shared" si="12"/>
        <v>309304.66248778353</v>
      </c>
      <c r="X6" s="18">
        <f t="shared" si="13"/>
        <v>38.171012643550498</v>
      </c>
      <c r="Y6" s="19">
        <f t="shared" si="14"/>
        <v>38.171012643550498</v>
      </c>
    </row>
    <row r="7" spans="2:25" x14ac:dyDescent="0.25">
      <c r="B7" s="14">
        <v>1326.9127694320341</v>
      </c>
      <c r="C7" s="14">
        <v>1800</v>
      </c>
      <c r="D7" s="15">
        <f t="shared" si="0"/>
        <v>473.08723056796589</v>
      </c>
      <c r="E7" s="16">
        <f t="shared" si="1"/>
        <v>473.08723056796589</v>
      </c>
      <c r="F7" s="17">
        <f t="shared" si="2"/>
        <v>223811.52772646773</v>
      </c>
      <c r="G7" s="18">
        <f t="shared" si="3"/>
        <v>26.28262392044255</v>
      </c>
      <c r="H7" s="19">
        <f t="shared" si="4"/>
        <v>26.28262392044255</v>
      </c>
      <c r="I7" s="23"/>
      <c r="J7" s="25">
        <v>44682</v>
      </c>
      <c r="K7" s="14">
        <v>1500.6488653788631</v>
      </c>
      <c r="L7" s="14">
        <v>1800</v>
      </c>
      <c r="M7" s="15">
        <f t="shared" si="5"/>
        <v>299.35113462113691</v>
      </c>
      <c r="N7" s="16">
        <f t="shared" si="6"/>
        <v>299.35113462113691</v>
      </c>
      <c r="O7" s="17">
        <f t="shared" si="7"/>
        <v>89611.10179896203</v>
      </c>
      <c r="P7" s="18">
        <f t="shared" si="8"/>
        <v>16.630618590063161</v>
      </c>
      <c r="Q7" s="19">
        <f t="shared" si="9"/>
        <v>16.630618590063161</v>
      </c>
      <c r="S7" s="14">
        <v>1378.157192215612</v>
      </c>
      <c r="T7" s="14">
        <v>1800</v>
      </c>
      <c r="U7" s="15">
        <f t="shared" si="10"/>
        <v>421.84280778438801</v>
      </c>
      <c r="V7" s="16">
        <f t="shared" si="11"/>
        <v>421.84280778438801</v>
      </c>
      <c r="W7" s="17">
        <f t="shared" si="12"/>
        <v>177951.35447941613</v>
      </c>
      <c r="X7" s="18">
        <f t="shared" si="13"/>
        <v>23.435711543577114</v>
      </c>
      <c r="Y7" s="19">
        <f t="shared" si="14"/>
        <v>23.435711543577114</v>
      </c>
    </row>
    <row r="8" spans="2:25" x14ac:dyDescent="0.25">
      <c r="B8" s="14">
        <v>1496.8395132166061</v>
      </c>
      <c r="C8" s="14">
        <v>1612</v>
      </c>
      <c r="D8" s="15">
        <f t="shared" si="0"/>
        <v>115.16048678339394</v>
      </c>
      <c r="E8" s="16">
        <f t="shared" si="1"/>
        <v>115.16048678339394</v>
      </c>
      <c r="F8" s="17">
        <f t="shared" si="2"/>
        <v>13261.937716188249</v>
      </c>
      <c r="G8" s="18">
        <f t="shared" si="3"/>
        <v>7.143950793014513</v>
      </c>
      <c r="H8" s="19">
        <f t="shared" si="4"/>
        <v>7.143950793014513</v>
      </c>
      <c r="I8" s="23"/>
      <c r="J8" s="25">
        <v>44713</v>
      </c>
      <c r="K8" s="14">
        <v>1595.3403442044539</v>
      </c>
      <c r="L8" s="14">
        <v>1612</v>
      </c>
      <c r="M8" s="15">
        <f t="shared" si="5"/>
        <v>16.659655795546087</v>
      </c>
      <c r="N8" s="16">
        <f t="shared" si="6"/>
        <v>16.659655795546087</v>
      </c>
      <c r="O8" s="17">
        <f t="shared" si="7"/>
        <v>277.5441312260723</v>
      </c>
      <c r="P8" s="18">
        <f t="shared" si="8"/>
        <v>1.0334774066715935</v>
      </c>
      <c r="Q8" s="19">
        <f t="shared" si="9"/>
        <v>1.0334774066715935</v>
      </c>
      <c r="S8" s="14">
        <v>1502.8737283715609</v>
      </c>
      <c r="T8" s="14">
        <v>1612</v>
      </c>
      <c r="U8" s="15">
        <f t="shared" si="10"/>
        <v>109.1262716284391</v>
      </c>
      <c r="V8" s="16">
        <f t="shared" si="11"/>
        <v>109.1262716284391</v>
      </c>
      <c r="W8" s="17">
        <f t="shared" si="12"/>
        <v>11908.543159523872</v>
      </c>
      <c r="X8" s="18">
        <f t="shared" si="13"/>
        <v>6.7696198280669417</v>
      </c>
      <c r="Y8" s="19">
        <f t="shared" si="14"/>
        <v>6.7696198280669417</v>
      </c>
    </row>
    <row r="9" spans="2:25" x14ac:dyDescent="0.25">
      <c r="B9" s="14">
        <v>1649.6804448090049</v>
      </c>
      <c r="C9" s="14">
        <v>1460</v>
      </c>
      <c r="D9" s="15">
        <f t="shared" si="0"/>
        <v>-189.68044480900494</v>
      </c>
      <c r="E9" s="16">
        <f t="shared" si="1"/>
        <v>189.68044480900494</v>
      </c>
      <c r="F9" s="17">
        <f t="shared" si="2"/>
        <v>35978.671142941967</v>
      </c>
      <c r="G9" s="18">
        <f t="shared" si="3"/>
        <v>-12.991811288288011</v>
      </c>
      <c r="H9" s="19">
        <f t="shared" si="4"/>
        <v>12.991811288288011</v>
      </c>
      <c r="I9" s="23"/>
      <c r="J9" s="25">
        <v>44743</v>
      </c>
      <c r="K9" s="14">
        <v>1673.237956520434</v>
      </c>
      <c r="L9" s="14">
        <v>1460</v>
      </c>
      <c r="M9" s="15">
        <f t="shared" si="5"/>
        <v>-213.23795652043395</v>
      </c>
      <c r="N9" s="16">
        <f t="shared" si="6"/>
        <v>213.23795652043395</v>
      </c>
      <c r="O9" s="17">
        <f t="shared" si="7"/>
        <v>45470.426101010482</v>
      </c>
      <c r="P9" s="18">
        <f t="shared" si="8"/>
        <v>-14.605339487700956</v>
      </c>
      <c r="Q9" s="19">
        <f t="shared" si="9"/>
        <v>14.605339487700956</v>
      </c>
      <c r="S9" s="14">
        <v>1632.3889725133311</v>
      </c>
      <c r="T9" s="14">
        <v>1460</v>
      </c>
      <c r="U9" s="15">
        <f t="shared" si="10"/>
        <v>-172.38897251333105</v>
      </c>
      <c r="V9" s="16">
        <f t="shared" si="11"/>
        <v>172.38897251333105</v>
      </c>
      <c r="W9" s="17">
        <f t="shared" si="12"/>
        <v>29717.95784420201</v>
      </c>
      <c r="X9" s="18">
        <f t="shared" si="13"/>
        <v>-11.8074638707761</v>
      </c>
      <c r="Y9" s="19">
        <f t="shared" si="14"/>
        <v>11.8074638707761</v>
      </c>
    </row>
    <row r="10" spans="2:25" x14ac:dyDescent="0.25">
      <c r="B10" s="14">
        <v>1628.6133719971051</v>
      </c>
      <c r="C10" s="14">
        <v>1527</v>
      </c>
      <c r="D10" s="15">
        <f t="shared" ref="D10:D19" si="15">C10-B10</f>
        <v>-101.61337199710511</v>
      </c>
      <c r="E10" s="16">
        <f t="shared" ref="E10:E19" si="16">ABS(C10-B10)</f>
        <v>101.61337199710511</v>
      </c>
      <c r="F10" s="17">
        <f t="shared" ref="F10:F19" si="17">POWER(B10-C10,2)</f>
        <v>10325.277368622064</v>
      </c>
      <c r="G10" s="18">
        <f t="shared" ref="G10:G19" si="18">(C10-B10)/C10*100</f>
        <v>-6.6544447935235826</v>
      </c>
      <c r="H10" s="19">
        <f t="shared" ref="H10:H19" si="19">ABS(C10-B10)/C10*100</f>
        <v>6.6544447935235826</v>
      </c>
      <c r="I10" s="23"/>
      <c r="J10" s="25">
        <v>44774</v>
      </c>
      <c r="K10" s="14">
        <v>1650.989533700485</v>
      </c>
      <c r="L10" s="14">
        <v>1527</v>
      </c>
      <c r="M10" s="15">
        <f t="shared" si="5"/>
        <v>-123.98953370048503</v>
      </c>
      <c r="N10" s="16">
        <f t="shared" si="6"/>
        <v>123.98953370048503</v>
      </c>
      <c r="O10" s="17">
        <f t="shared" si="7"/>
        <v>15373.404467263712</v>
      </c>
      <c r="P10" s="18">
        <f t="shared" si="8"/>
        <v>-8.1198122921077296</v>
      </c>
      <c r="Q10" s="19">
        <f t="shared" si="9"/>
        <v>8.1198122921077296</v>
      </c>
      <c r="S10" s="14">
        <v>1601.6197638938991</v>
      </c>
      <c r="T10" s="14">
        <v>1527</v>
      </c>
      <c r="U10" s="15">
        <f t="shared" si="10"/>
        <v>-74.619763893899062</v>
      </c>
      <c r="V10" s="16">
        <f t="shared" si="11"/>
        <v>74.619763893899062</v>
      </c>
      <c r="W10" s="17">
        <f t="shared" si="12"/>
        <v>5568.1091635812418</v>
      </c>
      <c r="X10" s="18">
        <f t="shared" si="13"/>
        <v>-4.8866904973083862</v>
      </c>
      <c r="Y10" s="19">
        <f t="shared" si="14"/>
        <v>4.8866904973083862</v>
      </c>
    </row>
    <row r="11" spans="2:25" x14ac:dyDescent="0.25">
      <c r="B11" s="14">
        <v>1518.666213939224</v>
      </c>
      <c r="C11" s="14">
        <v>1430</v>
      </c>
      <c r="D11" s="15">
        <f t="shared" si="15"/>
        <v>-88.666213939224008</v>
      </c>
      <c r="E11" s="16">
        <f t="shared" si="16"/>
        <v>88.666213939224008</v>
      </c>
      <c r="F11" s="17">
        <f t="shared" si="17"/>
        <v>7861.6974943162413</v>
      </c>
      <c r="G11" s="18">
        <f t="shared" si="18"/>
        <v>-6.2004345412044763</v>
      </c>
      <c r="H11" s="19">
        <f t="shared" si="19"/>
        <v>6.2004345412044763</v>
      </c>
      <c r="I11" s="23"/>
      <c r="J11" s="25">
        <v>44805</v>
      </c>
      <c r="K11" s="14">
        <v>1550.4647719558211</v>
      </c>
      <c r="L11" s="14">
        <v>1430</v>
      </c>
      <c r="M11" s="15">
        <f t="shared" si="5"/>
        <v>-120.46477195582111</v>
      </c>
      <c r="N11" s="16">
        <f t="shared" si="6"/>
        <v>120.46477195582111</v>
      </c>
      <c r="O11" s="17">
        <f t="shared" si="7"/>
        <v>14511.761282367983</v>
      </c>
      <c r="P11" s="18">
        <f t="shared" si="8"/>
        <v>-8.4241099269804973</v>
      </c>
      <c r="Q11" s="19">
        <f t="shared" si="9"/>
        <v>8.4241099269804973</v>
      </c>
      <c r="S11" s="14">
        <v>1499.4155257670809</v>
      </c>
      <c r="T11" s="14">
        <v>1430</v>
      </c>
      <c r="U11" s="15">
        <f t="shared" si="10"/>
        <v>-69.415525767080908</v>
      </c>
      <c r="V11" s="16">
        <f t="shared" si="11"/>
        <v>69.415525767080908</v>
      </c>
      <c r="W11" s="17">
        <f t="shared" si="12"/>
        <v>4818.5152175202738</v>
      </c>
      <c r="X11" s="18">
        <f t="shared" si="13"/>
        <v>-4.8542325711245393</v>
      </c>
      <c r="Y11" s="19">
        <f t="shared" si="14"/>
        <v>4.8542325711245393</v>
      </c>
    </row>
    <row r="12" spans="2:25" x14ac:dyDescent="0.25">
      <c r="B12" s="14">
        <v>1685.942997074874</v>
      </c>
      <c r="C12" s="14">
        <v>1447</v>
      </c>
      <c r="D12" s="15">
        <f t="shared" si="15"/>
        <v>-238.94299707487403</v>
      </c>
      <c r="E12" s="16">
        <f t="shared" si="16"/>
        <v>238.94299707487403</v>
      </c>
      <c r="F12" s="17">
        <f t="shared" si="17"/>
        <v>57093.755851123256</v>
      </c>
      <c r="G12" s="18">
        <f t="shared" si="18"/>
        <v>-16.512992195913892</v>
      </c>
      <c r="H12" s="19">
        <f t="shared" si="19"/>
        <v>16.512992195913892</v>
      </c>
      <c r="I12" s="23"/>
      <c r="J12" s="25">
        <v>44835</v>
      </c>
      <c r="K12" s="14">
        <v>1708.1882090998599</v>
      </c>
      <c r="L12" s="14">
        <v>1447</v>
      </c>
      <c r="M12" s="15">
        <f t="shared" si="5"/>
        <v>-261.18820909985993</v>
      </c>
      <c r="N12" s="16">
        <f t="shared" si="6"/>
        <v>261.18820909985993</v>
      </c>
      <c r="O12" s="17">
        <f t="shared" si="7"/>
        <v>68219.280572792151</v>
      </c>
      <c r="P12" s="18">
        <f t="shared" si="8"/>
        <v>-18.050325438829297</v>
      </c>
      <c r="Q12" s="19">
        <f t="shared" si="9"/>
        <v>18.050325438829297</v>
      </c>
      <c r="S12" s="14">
        <v>1685.9953190611659</v>
      </c>
      <c r="T12" s="14">
        <v>1447</v>
      </c>
      <c r="U12" s="15">
        <f t="shared" si="10"/>
        <v>-238.9953190611659</v>
      </c>
      <c r="V12" s="16">
        <f t="shared" si="11"/>
        <v>238.9953190611659</v>
      </c>
      <c r="W12" s="17">
        <f t="shared" si="12"/>
        <v>57118.762533148489</v>
      </c>
      <c r="X12" s="18">
        <f t="shared" si="13"/>
        <v>-16.516608089921625</v>
      </c>
      <c r="Y12" s="19">
        <f t="shared" si="14"/>
        <v>16.516608089921625</v>
      </c>
    </row>
    <row r="13" spans="2:25" x14ac:dyDescent="0.25">
      <c r="B13" s="14">
        <v>1930.161595761384</v>
      </c>
      <c r="C13" s="14">
        <v>1665</v>
      </c>
      <c r="D13" s="15">
        <f t="shared" si="15"/>
        <v>-265.16159576138398</v>
      </c>
      <c r="E13" s="16">
        <f t="shared" si="16"/>
        <v>265.16159576138398</v>
      </c>
      <c r="F13" s="17">
        <f t="shared" si="17"/>
        <v>70310.671866723613</v>
      </c>
      <c r="G13" s="18">
        <f t="shared" si="18"/>
        <v>-15.925621367050088</v>
      </c>
      <c r="H13" s="19">
        <f t="shared" si="19"/>
        <v>15.925621367050088</v>
      </c>
      <c r="I13" s="23"/>
      <c r="J13" s="25">
        <v>44866</v>
      </c>
      <c r="K13" s="14">
        <v>1943.2488998006761</v>
      </c>
      <c r="L13" s="14">
        <v>1665</v>
      </c>
      <c r="M13" s="15">
        <f t="shared" si="5"/>
        <v>-278.2488998006761</v>
      </c>
      <c r="N13" s="16">
        <f t="shared" si="6"/>
        <v>278.2488998006761</v>
      </c>
      <c r="O13" s="17">
        <f t="shared" si="7"/>
        <v>77422.450240286693</v>
      </c>
      <c r="P13" s="18">
        <f t="shared" si="8"/>
        <v>-16.711645633674241</v>
      </c>
      <c r="Q13" s="19">
        <f t="shared" si="9"/>
        <v>16.711645633674241</v>
      </c>
      <c r="S13" s="14">
        <v>1947.7077442223811</v>
      </c>
      <c r="T13" s="14">
        <v>1665</v>
      </c>
      <c r="U13" s="15">
        <f t="shared" si="10"/>
        <v>-282.70774422238105</v>
      </c>
      <c r="V13" s="16">
        <f t="shared" si="11"/>
        <v>282.70774422238105</v>
      </c>
      <c r="W13" s="17">
        <f t="shared" si="12"/>
        <v>79923.668643307232</v>
      </c>
      <c r="X13" s="18">
        <f t="shared" si="13"/>
        <v>-16.979444097440304</v>
      </c>
      <c r="Y13" s="19">
        <f t="shared" si="14"/>
        <v>16.979444097440304</v>
      </c>
    </row>
    <row r="14" spans="2:25" x14ac:dyDescent="0.25">
      <c r="B14" s="14">
        <v>2881.3410843502011</v>
      </c>
      <c r="C14" s="14">
        <v>2546</v>
      </c>
      <c r="D14" s="15">
        <f t="shared" si="15"/>
        <v>-335.34108435020107</v>
      </c>
      <c r="E14" s="16">
        <f t="shared" si="16"/>
        <v>335.34108435020107</v>
      </c>
      <c r="F14" s="17">
        <f t="shared" si="17"/>
        <v>112453.64285316867</v>
      </c>
      <c r="G14" s="18">
        <f t="shared" si="18"/>
        <v>-13.171291608413238</v>
      </c>
      <c r="H14" s="19">
        <f t="shared" si="19"/>
        <v>13.171291608413238</v>
      </c>
      <c r="I14" s="23"/>
      <c r="J14" s="25">
        <v>44896</v>
      </c>
      <c r="K14" s="14">
        <v>2921.4039720032788</v>
      </c>
      <c r="L14" s="14">
        <v>2546</v>
      </c>
      <c r="M14" s="15">
        <f t="shared" si="5"/>
        <v>-375.4039720032788</v>
      </c>
      <c r="N14" s="16">
        <f t="shared" si="6"/>
        <v>375.4039720032788</v>
      </c>
      <c r="O14" s="17">
        <f t="shared" si="7"/>
        <v>140928.14219583853</v>
      </c>
      <c r="P14" s="18">
        <f t="shared" si="8"/>
        <v>-14.744853574362876</v>
      </c>
      <c r="Q14" s="19">
        <f t="shared" si="9"/>
        <v>14.744853574362876</v>
      </c>
      <c r="S14" s="14">
        <v>2903.9591348263662</v>
      </c>
      <c r="T14" s="14">
        <v>2546</v>
      </c>
      <c r="U14" s="15">
        <f t="shared" si="10"/>
        <v>-357.95913482636615</v>
      </c>
      <c r="V14" s="16">
        <f t="shared" si="11"/>
        <v>357.95913482636615</v>
      </c>
      <c r="W14" s="17">
        <f t="shared" si="12"/>
        <v>128134.74220564058</v>
      </c>
      <c r="X14" s="18">
        <f t="shared" si="13"/>
        <v>-14.059667510854915</v>
      </c>
      <c r="Y14" s="19">
        <f t="shared" si="14"/>
        <v>14.059667510854915</v>
      </c>
    </row>
    <row r="15" spans="2:25" x14ac:dyDescent="0.25">
      <c r="B15" s="14">
        <v>1271.826412471192</v>
      </c>
      <c r="C15" s="14">
        <v>1431</v>
      </c>
      <c r="D15" s="15">
        <f t="shared" si="15"/>
        <v>159.17358752880796</v>
      </c>
      <c r="E15" s="16">
        <f t="shared" si="16"/>
        <v>159.17358752880796</v>
      </c>
      <c r="F15" s="17">
        <f t="shared" si="17"/>
        <v>25336.230966791089</v>
      </c>
      <c r="G15" s="18">
        <f t="shared" si="18"/>
        <v>11.123241616268901</v>
      </c>
      <c r="H15" s="19">
        <f t="shared" si="19"/>
        <v>11.123241616268901</v>
      </c>
      <c r="I15" s="23"/>
      <c r="J15" s="25">
        <v>44927</v>
      </c>
      <c r="K15" s="14">
        <v>1441.0264386881649</v>
      </c>
      <c r="L15" s="14">
        <v>1431</v>
      </c>
      <c r="M15" s="15">
        <f t="shared" si="5"/>
        <v>-10.026438688164944</v>
      </c>
      <c r="N15" s="16">
        <f t="shared" si="6"/>
        <v>10.026438688164944</v>
      </c>
      <c r="O15" s="17">
        <f t="shared" si="7"/>
        <v>100.52947276753076</v>
      </c>
      <c r="P15" s="18">
        <f t="shared" si="8"/>
        <v>-0.70065958687386054</v>
      </c>
      <c r="Q15" s="19">
        <f t="shared" si="9"/>
        <v>0.70065958687386054</v>
      </c>
      <c r="S15" s="14">
        <v>1314.4003617075059</v>
      </c>
      <c r="T15" s="14">
        <v>1431</v>
      </c>
      <c r="U15" s="15">
        <f t="shared" si="10"/>
        <v>116.59963829249409</v>
      </c>
      <c r="V15" s="16">
        <f t="shared" si="11"/>
        <v>116.59963829249409</v>
      </c>
      <c r="W15" s="17">
        <f t="shared" si="12"/>
        <v>13595.475649940454</v>
      </c>
      <c r="X15" s="18">
        <f t="shared" si="13"/>
        <v>8.1481228715928786</v>
      </c>
      <c r="Y15" s="19">
        <f t="shared" si="14"/>
        <v>8.1481228715928786</v>
      </c>
    </row>
    <row r="16" spans="2:25" x14ac:dyDescent="0.25">
      <c r="B16" s="14">
        <v>1210.321516473816</v>
      </c>
      <c r="C16" s="14">
        <v>1368</v>
      </c>
      <c r="D16" s="15">
        <f t="shared" si="15"/>
        <v>157.67848352618398</v>
      </c>
      <c r="E16" s="16">
        <f t="shared" si="16"/>
        <v>157.67848352618398</v>
      </c>
      <c r="F16" s="17">
        <f t="shared" si="17"/>
        <v>24862.504167117073</v>
      </c>
      <c r="G16" s="18">
        <f t="shared" si="18"/>
        <v>11.526204936124559</v>
      </c>
      <c r="H16" s="19">
        <f t="shared" si="19"/>
        <v>11.526204936124559</v>
      </c>
      <c r="I16" s="23"/>
      <c r="J16" s="25">
        <v>44958</v>
      </c>
      <c r="K16" s="14">
        <v>1362.002010274349</v>
      </c>
      <c r="L16" s="14">
        <v>1368</v>
      </c>
      <c r="M16" s="15">
        <f t="shared" si="5"/>
        <v>5.9979897256509958</v>
      </c>
      <c r="N16" s="16">
        <f t="shared" si="6"/>
        <v>5.9979897256509958</v>
      </c>
      <c r="O16" s="17">
        <f t="shared" si="7"/>
        <v>35.975880749014905</v>
      </c>
      <c r="P16" s="18">
        <f t="shared" si="8"/>
        <v>0.43844954134875702</v>
      </c>
      <c r="Q16" s="19">
        <f t="shared" si="9"/>
        <v>0.43844954134875702</v>
      </c>
      <c r="S16" s="14">
        <v>1279.7641050560951</v>
      </c>
      <c r="T16" s="14">
        <v>1368</v>
      </c>
      <c r="U16" s="15">
        <f t="shared" si="10"/>
        <v>88.235894943904896</v>
      </c>
      <c r="V16" s="16">
        <f t="shared" si="11"/>
        <v>88.235894943904896</v>
      </c>
      <c r="W16" s="17">
        <f t="shared" si="12"/>
        <v>7785.5731565518217</v>
      </c>
      <c r="X16" s="18">
        <f t="shared" si="13"/>
        <v>6.4499923204608844</v>
      </c>
      <c r="Y16" s="19">
        <f t="shared" si="14"/>
        <v>6.4499923204608844</v>
      </c>
    </row>
    <row r="17" spans="2:25" x14ac:dyDescent="0.25">
      <c r="B17" s="14">
        <v>875.55320713691731</v>
      </c>
      <c r="C17" s="14">
        <v>1734</v>
      </c>
      <c r="D17" s="15">
        <f t="shared" si="15"/>
        <v>858.44679286308269</v>
      </c>
      <c r="E17" s="16">
        <f t="shared" si="16"/>
        <v>858.44679286308269</v>
      </c>
      <c r="F17" s="17">
        <f t="shared" si="17"/>
        <v>736930.89617691236</v>
      </c>
      <c r="G17" s="18">
        <f t="shared" si="18"/>
        <v>49.50673545923199</v>
      </c>
      <c r="H17" s="19">
        <f t="shared" si="19"/>
        <v>49.50673545923199</v>
      </c>
      <c r="I17" s="23"/>
      <c r="J17" s="25">
        <v>44986</v>
      </c>
      <c r="K17" s="14">
        <v>1162.988410820363</v>
      </c>
      <c r="L17" s="14">
        <v>1734</v>
      </c>
      <c r="M17" s="15">
        <f t="shared" si="5"/>
        <v>571.01158917963699</v>
      </c>
      <c r="N17" s="16">
        <f t="shared" si="6"/>
        <v>571.01158917963699</v>
      </c>
      <c r="O17" s="17">
        <f t="shared" si="7"/>
        <v>326054.23497745453</v>
      </c>
      <c r="P17" s="18">
        <f t="shared" si="8"/>
        <v>32.93031079467341</v>
      </c>
      <c r="Q17" s="19">
        <f t="shared" si="9"/>
        <v>32.93031079467341</v>
      </c>
      <c r="S17" s="14">
        <v>920.5670833580001</v>
      </c>
      <c r="T17" s="14">
        <v>1734</v>
      </c>
      <c r="U17" s="15">
        <f t="shared" si="10"/>
        <v>813.4329166419999</v>
      </c>
      <c r="V17" s="16">
        <f t="shared" si="11"/>
        <v>813.4329166419999</v>
      </c>
      <c r="W17" s="17">
        <f t="shared" si="12"/>
        <v>661673.10987671081</v>
      </c>
      <c r="X17" s="18">
        <f t="shared" si="13"/>
        <v>46.91077950645905</v>
      </c>
      <c r="Y17" s="19">
        <f t="shared" si="14"/>
        <v>46.91077950645905</v>
      </c>
    </row>
    <row r="18" spans="2:25" x14ac:dyDescent="0.25">
      <c r="B18" s="14">
        <v>860.40933592108229</v>
      </c>
      <c r="C18" s="14">
        <v>1785</v>
      </c>
      <c r="D18" s="15">
        <f t="shared" si="15"/>
        <v>924.59066407891771</v>
      </c>
      <c r="E18" s="16">
        <f t="shared" si="16"/>
        <v>924.59066407891771</v>
      </c>
      <c r="F18" s="17">
        <f t="shared" si="17"/>
        <v>854867.89610189409</v>
      </c>
      <c r="G18" s="18">
        <f t="shared" si="18"/>
        <v>51.797796306942168</v>
      </c>
      <c r="H18" s="19">
        <f t="shared" si="19"/>
        <v>51.797796306942168</v>
      </c>
      <c r="I18" s="23"/>
      <c r="J18" s="25">
        <v>45017</v>
      </c>
      <c r="K18" s="14">
        <v>1145.395865257779</v>
      </c>
      <c r="L18" s="14">
        <v>1785</v>
      </c>
      <c r="M18" s="15">
        <f t="shared" si="5"/>
        <v>639.60413474222105</v>
      </c>
      <c r="N18" s="16">
        <f t="shared" si="6"/>
        <v>639.60413474222105</v>
      </c>
      <c r="O18" s="17">
        <f t="shared" si="7"/>
        <v>409093.44917934528</v>
      </c>
      <c r="P18" s="18">
        <f t="shared" si="8"/>
        <v>35.832164411328911</v>
      </c>
      <c r="Q18" s="19">
        <f t="shared" si="9"/>
        <v>35.832164411328911</v>
      </c>
      <c r="S18" s="14">
        <v>888.59653527376452</v>
      </c>
      <c r="T18" s="14">
        <v>1785</v>
      </c>
      <c r="U18" s="15">
        <f t="shared" si="10"/>
        <v>896.40346472623548</v>
      </c>
      <c r="V18" s="16">
        <f t="shared" si="11"/>
        <v>896.40346472623548</v>
      </c>
      <c r="W18" s="17">
        <f t="shared" si="12"/>
        <v>803539.17157319933</v>
      </c>
      <c r="X18" s="18">
        <f t="shared" si="13"/>
        <v>50.218681497268093</v>
      </c>
      <c r="Y18" s="19">
        <f t="shared" si="14"/>
        <v>50.218681497268093</v>
      </c>
    </row>
    <row r="19" spans="2:25" x14ac:dyDescent="0.25">
      <c r="B19" s="14">
        <v>1350.7950436420431</v>
      </c>
      <c r="C19" s="14">
        <v>2057</v>
      </c>
      <c r="D19" s="15">
        <f t="shared" si="15"/>
        <v>706.20495635795692</v>
      </c>
      <c r="E19" s="16">
        <f t="shared" si="16"/>
        <v>706.20495635795692</v>
      </c>
      <c r="F19" s="17">
        <f t="shared" si="17"/>
        <v>498725.44038454385</v>
      </c>
      <c r="G19" s="18">
        <f t="shared" si="18"/>
        <v>34.331791752939083</v>
      </c>
      <c r="H19" s="19">
        <f t="shared" si="19"/>
        <v>34.331791752939083</v>
      </c>
      <c r="I19" s="23"/>
      <c r="J19" s="25">
        <v>45047</v>
      </c>
      <c r="K19" s="14">
        <v>1526.3251477871829</v>
      </c>
      <c r="L19" s="14">
        <v>2057</v>
      </c>
      <c r="M19" s="15">
        <f t="shared" si="5"/>
        <v>530.67485221281709</v>
      </c>
      <c r="N19" s="16">
        <f t="shared" si="6"/>
        <v>530.67485221281709</v>
      </c>
      <c r="O19" s="17">
        <f t="shared" si="7"/>
        <v>281615.79877109523</v>
      </c>
      <c r="P19" s="18">
        <f t="shared" si="8"/>
        <v>25.798485766301265</v>
      </c>
      <c r="Q19" s="19">
        <f t="shared" si="9"/>
        <v>25.798485766301265</v>
      </c>
      <c r="S19" s="14">
        <v>1369.8164670115179</v>
      </c>
      <c r="T19" s="14">
        <v>2057</v>
      </c>
      <c r="U19" s="15">
        <f t="shared" si="10"/>
        <v>687.18353298848206</v>
      </c>
      <c r="V19" s="16">
        <f t="shared" si="11"/>
        <v>687.18353298848206</v>
      </c>
      <c r="W19" s="17">
        <f t="shared" si="12"/>
        <v>472221.20801053219</v>
      </c>
      <c r="X19" s="18">
        <f t="shared" si="13"/>
        <v>33.407075011593683</v>
      </c>
      <c r="Y19" s="19">
        <f t="shared" si="14"/>
        <v>33.407075011593683</v>
      </c>
    </row>
    <row r="22" spans="2:25" x14ac:dyDescent="0.25">
      <c r="B22" s="9" t="s">
        <v>12</v>
      </c>
      <c r="C22" s="9">
        <f>SUM(D3:D19)/7</f>
        <v>446.67877537884732</v>
      </c>
      <c r="K22" s="9" t="s">
        <v>12</v>
      </c>
      <c r="L22" s="9">
        <f>SUM(M3:M19)/7</f>
        <v>93.412847194018894</v>
      </c>
      <c r="S22" s="9" t="s">
        <v>12</v>
      </c>
      <c r="T22" s="9">
        <f>SUM(U3:U19)/7</f>
        <v>356.12763954991823</v>
      </c>
    </row>
    <row r="23" spans="2:25" x14ac:dyDescent="0.25">
      <c r="B23" s="10" t="s">
        <v>13</v>
      </c>
      <c r="C23" s="10">
        <f>SUM(E3:E19)/7</f>
        <v>853.80471927860674</v>
      </c>
      <c r="K23" s="10" t="s">
        <v>13</v>
      </c>
      <c r="L23" s="10">
        <f>SUM(N3:N19)/7</f>
        <v>645.97220077796135</v>
      </c>
      <c r="S23" s="10" t="s">
        <v>13</v>
      </c>
      <c r="T23" s="10">
        <f>SUM(V3:V19)/7</f>
        <v>812.27585708661093</v>
      </c>
    </row>
    <row r="24" spans="2:25" x14ac:dyDescent="0.25">
      <c r="B24" s="11" t="s">
        <v>14</v>
      </c>
      <c r="C24" s="11">
        <f>SQRT(SUM(F3:F19)/7)</f>
        <v>694.99156854178648</v>
      </c>
      <c r="K24" s="11" t="s">
        <v>14</v>
      </c>
      <c r="L24" s="11">
        <f>SQRT(SUM(O3:O19)/7)</f>
        <v>503.83863272143344</v>
      </c>
      <c r="S24" s="11" t="s">
        <v>14</v>
      </c>
      <c r="T24" s="11">
        <f>SQRT(SUM(W3:W19)/7)</f>
        <v>655.43306960552923</v>
      </c>
    </row>
    <row r="25" spans="2:25" x14ac:dyDescent="0.25">
      <c r="B25" s="12" t="s">
        <v>15</v>
      </c>
      <c r="C25" s="12">
        <f>SUM(G3:G19)/7</f>
        <v>26.343983499897458</v>
      </c>
      <c r="K25" s="12" t="s">
        <v>15</v>
      </c>
      <c r="L25" s="12">
        <f>SUM(P3:P19)/7</f>
        <v>2.7794545506916206</v>
      </c>
      <c r="S25" s="12" t="s">
        <v>15</v>
      </c>
      <c r="T25" s="12">
        <f>SUM(X3:X19)/7</f>
        <v>19.819893643481702</v>
      </c>
    </row>
    <row r="26" spans="2:25" x14ac:dyDescent="0.25">
      <c r="B26" s="13" t="s">
        <v>16</v>
      </c>
      <c r="C26" s="13">
        <f>SUM(H3:H19)/7</f>
        <v>52.017190800647526</v>
      </c>
      <c r="K26" s="13" t="s">
        <v>16</v>
      </c>
      <c r="L26" s="13">
        <f>SUM(Q3:Q19)/7</f>
        <v>40.026893179796126</v>
      </c>
      <c r="S26" s="13" t="s">
        <v>16</v>
      </c>
      <c r="T26" s="13">
        <f>SUM(Y3:Y19)/7</f>
        <v>49.727706549318462</v>
      </c>
    </row>
    <row r="30" spans="2:25" x14ac:dyDescent="0.25">
      <c r="B30" t="s">
        <v>12</v>
      </c>
      <c r="C30" t="s">
        <v>21</v>
      </c>
      <c r="F30" t="s">
        <v>26</v>
      </c>
    </row>
    <row r="31" spans="2:25" x14ac:dyDescent="0.25">
      <c r="B31" t="s">
        <v>13</v>
      </c>
      <c r="C31" t="s">
        <v>20</v>
      </c>
      <c r="F31" t="s">
        <v>25</v>
      </c>
    </row>
    <row r="32" spans="2:25" x14ac:dyDescent="0.25">
      <c r="B32" t="s">
        <v>14</v>
      </c>
      <c r="C32" t="s">
        <v>19</v>
      </c>
      <c r="F32" t="s">
        <v>24</v>
      </c>
    </row>
    <row r="33" spans="2:10" x14ac:dyDescent="0.25">
      <c r="B33" t="s">
        <v>15</v>
      </c>
      <c r="C33" t="s">
        <v>18</v>
      </c>
      <c r="F33" t="s">
        <v>23</v>
      </c>
    </row>
    <row r="34" spans="2:10" x14ac:dyDescent="0.25">
      <c r="B34" t="s">
        <v>16</v>
      </c>
      <c r="C34" t="s">
        <v>17</v>
      </c>
      <c r="F34" t="s">
        <v>22</v>
      </c>
    </row>
    <row r="45" spans="2:10" ht="15.75" x14ac:dyDescent="0.25">
      <c r="B45" s="21" t="s">
        <v>27</v>
      </c>
      <c r="C45" s="21"/>
      <c r="D45" s="21"/>
      <c r="E45" s="21" t="s">
        <v>28</v>
      </c>
      <c r="F45" s="21"/>
      <c r="G45" s="21"/>
      <c r="H45" s="21" t="s">
        <v>29</v>
      </c>
      <c r="I45" s="21"/>
      <c r="J45" s="21"/>
    </row>
    <row r="46" spans="2:10" x14ac:dyDescent="0.25">
      <c r="B46" s="9" t="s">
        <v>12</v>
      </c>
      <c r="C46" s="9">
        <v>446.67877537884732</v>
      </c>
      <c r="E46" s="9" t="s">
        <v>12</v>
      </c>
      <c r="F46" s="9">
        <v>93.412847194018894</v>
      </c>
      <c r="H46" s="9" t="s">
        <v>12</v>
      </c>
      <c r="I46" s="9"/>
      <c r="J46" s="9">
        <v>356.12763954991823</v>
      </c>
    </row>
    <row r="47" spans="2:10" x14ac:dyDescent="0.25">
      <c r="B47" s="10" t="s">
        <v>13</v>
      </c>
      <c r="C47" s="10">
        <v>853.80471927860674</v>
      </c>
      <c r="E47" s="10" t="s">
        <v>13</v>
      </c>
      <c r="F47" s="10">
        <v>645.97220077796135</v>
      </c>
      <c r="H47" s="10" t="s">
        <v>13</v>
      </c>
      <c r="I47" s="10"/>
      <c r="J47" s="10">
        <v>812.27585708661093</v>
      </c>
    </row>
    <row r="48" spans="2:10" x14ac:dyDescent="0.25">
      <c r="B48" s="11" t="s">
        <v>14</v>
      </c>
      <c r="C48" s="11">
        <v>694.99156854178648</v>
      </c>
      <c r="E48" s="11" t="s">
        <v>14</v>
      </c>
      <c r="F48" s="11">
        <v>503.83863272143344</v>
      </c>
      <c r="H48" s="11" t="s">
        <v>14</v>
      </c>
      <c r="I48" s="11"/>
      <c r="J48" s="11">
        <v>655.43306960552923</v>
      </c>
    </row>
    <row r="49" spans="2:10" x14ac:dyDescent="0.25">
      <c r="B49" s="12" t="s">
        <v>15</v>
      </c>
      <c r="C49" s="12">
        <v>26.343983499897458</v>
      </c>
      <c r="E49" s="12" t="s">
        <v>15</v>
      </c>
      <c r="F49" s="12">
        <v>2.7794545506916206</v>
      </c>
      <c r="H49" s="12" t="s">
        <v>15</v>
      </c>
      <c r="I49" s="12"/>
      <c r="J49" s="12">
        <v>19.819893643481702</v>
      </c>
    </row>
    <row r="50" spans="2:10" x14ac:dyDescent="0.25">
      <c r="B50" s="13" t="s">
        <v>16</v>
      </c>
      <c r="C50" s="13">
        <v>52.017190800647526</v>
      </c>
      <c r="E50" s="13" t="s">
        <v>16</v>
      </c>
      <c r="F50" s="13">
        <v>40.026893179796126</v>
      </c>
      <c r="H50" s="13" t="s">
        <v>16</v>
      </c>
      <c r="I50" s="13"/>
      <c r="J50" s="13">
        <v>49.727706549318462</v>
      </c>
    </row>
  </sheetData>
  <mergeCells count="3">
    <mergeCell ref="B1:H1"/>
    <mergeCell ref="S1:Y1"/>
    <mergeCell ref="J1:Q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workbookViewId="0">
      <selection activeCell="A2" sqref="A2:A18"/>
    </sheetView>
  </sheetViews>
  <sheetFormatPr defaultRowHeight="15" x14ac:dyDescent="0.25"/>
  <cols>
    <col min="2" max="2" width="13.7109375" bestFit="1" customWidth="1"/>
    <col min="3" max="6" width="12" bestFit="1" customWidth="1"/>
  </cols>
  <sheetData>
    <row r="1" spans="1:6" s="1" customForma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2">
        <v>44562</v>
      </c>
      <c r="B2">
        <v>1287.0179217664779</v>
      </c>
      <c r="C2">
        <v>1020.889592651058</v>
      </c>
      <c r="D2">
        <v>1553.146250881897</v>
      </c>
      <c r="E2">
        <v>880.00976512598606</v>
      </c>
      <c r="F2">
        <v>1694.0260784069701</v>
      </c>
    </row>
    <row r="3" spans="1:6" x14ac:dyDescent="0.25">
      <c r="A3" s="2">
        <v>44593</v>
      </c>
      <c r="B3">
        <v>1177.517173950886</v>
      </c>
      <c r="C3">
        <v>856.49773098846822</v>
      </c>
      <c r="D3">
        <v>1498.5366169133031</v>
      </c>
      <c r="E3">
        <v>686.56030303007128</v>
      </c>
      <c r="F3">
        <v>1668.4740448717</v>
      </c>
    </row>
    <row r="4" spans="1:6" x14ac:dyDescent="0.25">
      <c r="A4" s="2">
        <v>44621</v>
      </c>
      <c r="B4">
        <v>823.4941875304628</v>
      </c>
      <c r="C4">
        <v>497.68957027123162</v>
      </c>
      <c r="D4">
        <v>1149.298804789694</v>
      </c>
      <c r="E4">
        <v>325.2190240542364</v>
      </c>
      <c r="F4">
        <v>1321.769351006689</v>
      </c>
    </row>
    <row r="5" spans="1:6" x14ac:dyDescent="0.25">
      <c r="A5" s="2">
        <v>44652</v>
      </c>
      <c r="B5">
        <v>815.15578287475751</v>
      </c>
      <c r="C5">
        <v>486.05653162755021</v>
      </c>
      <c r="D5">
        <v>1144.2550341219651</v>
      </c>
      <c r="E5">
        <v>311.84191152887882</v>
      </c>
      <c r="F5">
        <v>1318.4696542206359</v>
      </c>
    </row>
    <row r="6" spans="1:6" x14ac:dyDescent="0.25">
      <c r="A6" s="2">
        <v>44682</v>
      </c>
      <c r="B6">
        <v>1326.9127694320341</v>
      </c>
      <c r="C6">
        <v>984.05816112477919</v>
      </c>
      <c r="D6">
        <v>1669.767377739289</v>
      </c>
      <c r="E6">
        <v>802.56189484959418</v>
      </c>
      <c r="F6">
        <v>1851.263644014474</v>
      </c>
    </row>
    <row r="7" spans="1:6" x14ac:dyDescent="0.25">
      <c r="A7" s="2">
        <v>44713</v>
      </c>
      <c r="B7">
        <v>1496.8395132166061</v>
      </c>
      <c r="C7">
        <v>1141.6364526748271</v>
      </c>
      <c r="D7">
        <v>1852.0425737583839</v>
      </c>
      <c r="E7">
        <v>953.60331064957211</v>
      </c>
      <c r="F7">
        <v>2040.075715783639</v>
      </c>
    </row>
    <row r="8" spans="1:6" x14ac:dyDescent="0.25">
      <c r="A8" s="2">
        <v>44743</v>
      </c>
      <c r="B8">
        <v>1649.6804448090049</v>
      </c>
      <c r="C8">
        <v>1290.0912973224581</v>
      </c>
      <c r="D8">
        <v>2009.2695922955529</v>
      </c>
      <c r="E8">
        <v>1099.736301121276</v>
      </c>
      <c r="F8">
        <v>2199.6245884967352</v>
      </c>
    </row>
    <row r="9" spans="1:6" x14ac:dyDescent="0.25">
      <c r="A9" s="2">
        <v>44774</v>
      </c>
      <c r="B9">
        <v>1628.6133719971051</v>
      </c>
      <c r="C9">
        <v>1268.8615669245521</v>
      </c>
      <c r="D9">
        <v>1988.365177069657</v>
      </c>
      <c r="E9">
        <v>1078.4204649985941</v>
      </c>
      <c r="F9">
        <v>2178.8062789956161</v>
      </c>
    </row>
    <row r="10" spans="1:6" x14ac:dyDescent="0.25">
      <c r="A10" s="2">
        <v>44805</v>
      </c>
      <c r="B10">
        <v>1518.666213939224</v>
      </c>
      <c r="C10">
        <v>1158.1954928672531</v>
      </c>
      <c r="D10">
        <v>1879.136935011195</v>
      </c>
      <c r="E10">
        <v>967.37381979977135</v>
      </c>
      <c r="F10">
        <v>2069.9586080786762</v>
      </c>
    </row>
    <row r="11" spans="1:6" x14ac:dyDescent="0.25">
      <c r="A11" s="2">
        <v>44835</v>
      </c>
      <c r="B11">
        <v>1685.942997074874</v>
      </c>
      <c r="C11">
        <v>1323.6405766083069</v>
      </c>
      <c r="D11">
        <v>2048.2454175414409</v>
      </c>
      <c r="E11">
        <v>1131.8492604530479</v>
      </c>
      <c r="F11">
        <v>2240.0367336967001</v>
      </c>
    </row>
    <row r="12" spans="1:6" x14ac:dyDescent="0.25">
      <c r="A12" s="2">
        <v>44866</v>
      </c>
      <c r="B12">
        <v>1930.161595761384</v>
      </c>
      <c r="C12">
        <v>1566.472895268671</v>
      </c>
      <c r="D12">
        <v>2293.8502962540961</v>
      </c>
      <c r="E12">
        <v>1373.947726796247</v>
      </c>
      <c r="F12">
        <v>2486.37546472652</v>
      </c>
    </row>
    <row r="13" spans="1:6" x14ac:dyDescent="0.25">
      <c r="A13" s="2">
        <v>44896</v>
      </c>
      <c r="B13">
        <v>2881.3410843502011</v>
      </c>
      <c r="C13">
        <v>2517.2688623394602</v>
      </c>
      <c r="D13">
        <v>3245.413306360942</v>
      </c>
      <c r="E13">
        <v>2324.540669839148</v>
      </c>
      <c r="F13">
        <v>3438.1414988612541</v>
      </c>
    </row>
    <row r="14" spans="1:6" x14ac:dyDescent="0.25">
      <c r="A14" s="2">
        <v>44927</v>
      </c>
      <c r="B14">
        <v>1271.826412471192</v>
      </c>
      <c r="C14">
        <v>888.20087804028844</v>
      </c>
      <c r="D14">
        <v>1655.451946902097</v>
      </c>
      <c r="E14">
        <v>685.12178719535927</v>
      </c>
      <c r="F14">
        <v>1858.5310377470259</v>
      </c>
    </row>
    <row r="15" spans="1:6" x14ac:dyDescent="0.25">
      <c r="A15" s="2">
        <v>44958</v>
      </c>
      <c r="B15">
        <v>1210.321516473816</v>
      </c>
      <c r="C15">
        <v>820.1798643501744</v>
      </c>
      <c r="D15">
        <v>1600.4631685974571</v>
      </c>
      <c r="E15">
        <v>613.65134916272177</v>
      </c>
      <c r="F15">
        <v>1806.9916837849089</v>
      </c>
    </row>
    <row r="16" spans="1:6" x14ac:dyDescent="0.25">
      <c r="A16" s="2">
        <v>44986</v>
      </c>
      <c r="B16">
        <v>875.55320713691731</v>
      </c>
      <c r="C16">
        <v>485.23644469091062</v>
      </c>
      <c r="D16">
        <v>1265.8699695829241</v>
      </c>
      <c r="E16">
        <v>278.61523169824977</v>
      </c>
      <c r="F16">
        <v>1472.4911825755851</v>
      </c>
    </row>
    <row r="17" spans="1:6" x14ac:dyDescent="0.25">
      <c r="A17" s="2">
        <v>45017</v>
      </c>
      <c r="B17">
        <v>860.40933592108229</v>
      </c>
      <c r="C17">
        <v>468.81707346616469</v>
      </c>
      <c r="D17">
        <v>1252.0015983759999</v>
      </c>
      <c r="E17">
        <v>261.52065155508137</v>
      </c>
      <c r="F17">
        <v>1459.2980202870831</v>
      </c>
    </row>
    <row r="18" spans="1:6" x14ac:dyDescent="0.25">
      <c r="A18" s="2">
        <v>45047</v>
      </c>
      <c r="B18">
        <v>1350.7950436420431</v>
      </c>
      <c r="C18">
        <v>956.24570047170118</v>
      </c>
      <c r="D18">
        <v>1745.344386812385</v>
      </c>
      <c r="E18">
        <v>747.38389458758718</v>
      </c>
      <c r="F18">
        <v>1954.2061926964991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01FFE-BC53-4535-B2DC-D3D4DE9AF0F0}">
  <dimension ref="A1:F18"/>
  <sheetViews>
    <sheetView workbookViewId="0">
      <selection activeCell="C2" sqref="C2:D18"/>
    </sheetView>
  </sheetViews>
  <sheetFormatPr defaultRowHeight="15" x14ac:dyDescent="0.25"/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2">
        <v>44562</v>
      </c>
      <c r="B2">
        <v>1453.1804103520831</v>
      </c>
      <c r="C2">
        <v>1255.2260337110749</v>
      </c>
      <c r="D2">
        <v>1651.134786993091</v>
      </c>
      <c r="E2">
        <v>1150.4353166471899</v>
      </c>
      <c r="F2">
        <v>1755.925504056976</v>
      </c>
    </row>
    <row r="3" spans="1:6" x14ac:dyDescent="0.25">
      <c r="A3" s="2">
        <v>44593</v>
      </c>
      <c r="B3">
        <v>1357.217545422996</v>
      </c>
      <c r="C3">
        <v>1124.71397059221</v>
      </c>
      <c r="D3">
        <v>1589.7211202537819</v>
      </c>
      <c r="E3">
        <v>1001.6340127763769</v>
      </c>
      <c r="F3">
        <v>1712.801078069615</v>
      </c>
    </row>
    <row r="4" spans="1:6" x14ac:dyDescent="0.25">
      <c r="A4" s="2">
        <v>44621</v>
      </c>
      <c r="B4">
        <v>1147.7488026626049</v>
      </c>
      <c r="C4">
        <v>903.36390211186495</v>
      </c>
      <c r="D4">
        <v>1392.1337032133461</v>
      </c>
      <c r="E4">
        <v>773.99435038560546</v>
      </c>
      <c r="F4">
        <v>1521.5032549396051</v>
      </c>
    </row>
    <row r="5" spans="1:6" x14ac:dyDescent="0.25">
      <c r="A5" s="2">
        <v>44652</v>
      </c>
      <c r="B5">
        <v>1123.7028857124731</v>
      </c>
      <c r="C5">
        <v>874.94058419574901</v>
      </c>
      <c r="D5">
        <v>1372.4651872291979</v>
      </c>
      <c r="E5">
        <v>743.25377637298266</v>
      </c>
      <c r="F5">
        <v>1504.1519950519639</v>
      </c>
    </row>
    <row r="6" spans="1:6" x14ac:dyDescent="0.25">
      <c r="A6" s="2">
        <v>44682</v>
      </c>
      <c r="B6">
        <v>1500.6488653788631</v>
      </c>
      <c r="C6">
        <v>1250.2390048242059</v>
      </c>
      <c r="D6">
        <v>1751.05872593352</v>
      </c>
      <c r="E6">
        <v>1117.680031930277</v>
      </c>
      <c r="F6">
        <v>1883.617698827449</v>
      </c>
    </row>
    <row r="7" spans="1:6" x14ac:dyDescent="0.25">
      <c r="A7" s="2">
        <v>44713</v>
      </c>
      <c r="B7">
        <v>1595.3403442044539</v>
      </c>
      <c r="C7">
        <v>1344.305772529603</v>
      </c>
      <c r="D7">
        <v>1846.374915879305</v>
      </c>
      <c r="E7">
        <v>1211.4160975448499</v>
      </c>
      <c r="F7">
        <v>1979.2645908640579</v>
      </c>
    </row>
    <row r="8" spans="1:6" x14ac:dyDescent="0.25">
      <c r="A8" s="2">
        <v>44743</v>
      </c>
      <c r="B8">
        <v>1673.237956520434</v>
      </c>
      <c r="C8">
        <v>1421.9661715553059</v>
      </c>
      <c r="D8">
        <v>1924.509741485562</v>
      </c>
      <c r="E8">
        <v>1288.9509234399809</v>
      </c>
      <c r="F8">
        <v>2057.5249896008868</v>
      </c>
    </row>
    <row r="9" spans="1:6" x14ac:dyDescent="0.25">
      <c r="A9" s="2">
        <v>44774</v>
      </c>
      <c r="B9">
        <v>1650.989533700485</v>
      </c>
      <c r="C9">
        <v>1399.6284463519739</v>
      </c>
      <c r="D9">
        <v>1902.3506210489959</v>
      </c>
      <c r="E9">
        <v>1266.5659244104829</v>
      </c>
      <c r="F9">
        <v>2035.4131429904869</v>
      </c>
    </row>
    <row r="10" spans="1:6" x14ac:dyDescent="0.25">
      <c r="A10" s="2">
        <v>44805</v>
      </c>
      <c r="B10">
        <v>1550.4647719558211</v>
      </c>
      <c r="C10">
        <v>1299.072332296161</v>
      </c>
      <c r="D10">
        <v>1801.857211615481</v>
      </c>
      <c r="E10">
        <v>1165.993213443691</v>
      </c>
      <c r="F10">
        <v>1934.9363304679509</v>
      </c>
    </row>
    <row r="11" spans="1:6" x14ac:dyDescent="0.25">
      <c r="A11" s="2">
        <v>44835</v>
      </c>
      <c r="B11">
        <v>1708.1882090998599</v>
      </c>
      <c r="C11">
        <v>1456.790814122161</v>
      </c>
      <c r="D11">
        <v>1959.5856040775591</v>
      </c>
      <c r="E11">
        <v>1323.7090720827771</v>
      </c>
      <c r="F11">
        <v>2092.667346116943</v>
      </c>
    </row>
    <row r="12" spans="1:6" x14ac:dyDescent="0.25">
      <c r="A12" s="2">
        <v>44866</v>
      </c>
      <c r="B12">
        <v>1943.2488998006761</v>
      </c>
      <c r="C12">
        <v>1691.867960943822</v>
      </c>
      <c r="D12">
        <v>2194.629838657529</v>
      </c>
      <c r="E12">
        <v>1558.7949302485999</v>
      </c>
      <c r="F12">
        <v>2327.7028693527509</v>
      </c>
    </row>
    <row r="13" spans="1:6" x14ac:dyDescent="0.25">
      <c r="A13" s="2">
        <v>44896</v>
      </c>
      <c r="B13">
        <v>2921.4039720032788</v>
      </c>
      <c r="C13">
        <v>2670.077459092427</v>
      </c>
      <c r="D13">
        <v>3172.730484914131</v>
      </c>
      <c r="E13">
        <v>2537.0332397526558</v>
      </c>
      <c r="F13">
        <v>3305.7747042539022</v>
      </c>
    </row>
    <row r="14" spans="1:6" x14ac:dyDescent="0.25">
      <c r="A14" s="2">
        <v>44927</v>
      </c>
      <c r="B14">
        <v>1441.0264386881649</v>
      </c>
      <c r="C14">
        <v>1182.867920622931</v>
      </c>
      <c r="D14">
        <v>1699.1849567533991</v>
      </c>
      <c r="E14">
        <v>1046.207056219484</v>
      </c>
      <c r="F14">
        <v>1835.845821156847</v>
      </c>
    </row>
    <row r="15" spans="1:6" x14ac:dyDescent="0.25">
      <c r="A15" s="2">
        <v>44958</v>
      </c>
      <c r="B15">
        <v>1362.002010274349</v>
      </c>
      <c r="C15">
        <v>1101.2435202758811</v>
      </c>
      <c r="D15">
        <v>1622.7605002728169</v>
      </c>
      <c r="E15">
        <v>963.20631386952937</v>
      </c>
      <c r="F15">
        <v>1760.7977066791691</v>
      </c>
    </row>
    <row r="16" spans="1:6" x14ac:dyDescent="0.25">
      <c r="A16" s="2">
        <v>44986</v>
      </c>
      <c r="B16">
        <v>1162.988410820363</v>
      </c>
      <c r="C16">
        <v>901.24615999649677</v>
      </c>
      <c r="D16">
        <v>1424.7306616442299</v>
      </c>
      <c r="E16">
        <v>762.68818206661524</v>
      </c>
      <c r="F16">
        <v>1563.2886395741109</v>
      </c>
    </row>
    <row r="17" spans="1:6" x14ac:dyDescent="0.25">
      <c r="A17" s="2">
        <v>45017</v>
      </c>
      <c r="B17">
        <v>1145.395865257779</v>
      </c>
      <c r="C17">
        <v>883.27980342186288</v>
      </c>
      <c r="D17">
        <v>1407.5119270936959</v>
      </c>
      <c r="E17">
        <v>744.52394189544884</v>
      </c>
      <c r="F17">
        <v>1546.26778862011</v>
      </c>
    </row>
    <row r="18" spans="1:6" x14ac:dyDescent="0.25">
      <c r="A18" s="2">
        <v>45047</v>
      </c>
      <c r="B18">
        <v>1526.3251477871829</v>
      </c>
      <c r="C18">
        <v>1264.066861719642</v>
      </c>
      <c r="D18">
        <v>1788.583433854724</v>
      </c>
      <c r="E18">
        <v>1125.2357112328691</v>
      </c>
      <c r="F18">
        <v>1927.4145843414981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027D8-6029-49AA-9951-B2D48155D8EB}">
  <dimension ref="A1:F18"/>
  <sheetViews>
    <sheetView workbookViewId="0">
      <selection activeCell="B2" sqref="B2:F18"/>
    </sheetView>
  </sheetViews>
  <sheetFormatPr defaultRowHeight="15" x14ac:dyDescent="0.25"/>
  <cols>
    <col min="2" max="2" width="13.7109375" bestFit="1" customWidth="1"/>
    <col min="3" max="6" width="12" bestFit="1" customWidth="1"/>
  </cols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2">
        <v>44562</v>
      </c>
      <c r="B2">
        <v>1353.2323515950591</v>
      </c>
      <c r="C2">
        <v>1352.752160198206</v>
      </c>
      <c r="D2">
        <v>1353.712542991912</v>
      </c>
      <c r="E2">
        <v>1352.4979622276539</v>
      </c>
      <c r="F2">
        <v>1353.966740962464</v>
      </c>
    </row>
    <row r="3" spans="1:6" x14ac:dyDescent="0.25">
      <c r="A3" s="2">
        <v>44593</v>
      </c>
      <c r="B3">
        <v>1306.1999494991419</v>
      </c>
      <c r="C3">
        <v>1305.6190652934779</v>
      </c>
      <c r="D3">
        <v>1306.7808337048059</v>
      </c>
      <c r="E3">
        <v>1305.3115637697661</v>
      </c>
      <c r="F3">
        <v>1307.0883352285191</v>
      </c>
    </row>
    <row r="4" spans="1:6" x14ac:dyDescent="0.25">
      <c r="A4" s="2">
        <v>44621</v>
      </c>
      <c r="B4">
        <v>938.56394299462136</v>
      </c>
      <c r="C4">
        <v>937.94189542770869</v>
      </c>
      <c r="D4">
        <v>939.18599056153403</v>
      </c>
      <c r="E4">
        <v>937.61260333682037</v>
      </c>
      <c r="F4">
        <v>939.51528265242234</v>
      </c>
    </row>
    <row r="5" spans="1:6" x14ac:dyDescent="0.25">
      <c r="A5" s="2">
        <v>44652</v>
      </c>
      <c r="B5">
        <v>900.84834578346931</v>
      </c>
      <c r="C5">
        <v>900.20811777044889</v>
      </c>
      <c r="D5">
        <v>901.48857379648973</v>
      </c>
      <c r="E5">
        <v>899.86920153274195</v>
      </c>
      <c r="F5">
        <v>901.82749003419667</v>
      </c>
    </row>
    <row r="6" spans="1:6" x14ac:dyDescent="0.25">
      <c r="A6" s="2">
        <v>44682</v>
      </c>
      <c r="B6">
        <v>1378.157192215612</v>
      </c>
      <c r="C6">
        <v>1377.5087112369181</v>
      </c>
      <c r="D6">
        <v>1378.8056731943061</v>
      </c>
      <c r="E6">
        <v>1377.1654261430861</v>
      </c>
      <c r="F6">
        <v>1379.1489582881379</v>
      </c>
    </row>
    <row r="7" spans="1:6" x14ac:dyDescent="0.25">
      <c r="A7" s="2">
        <v>44713</v>
      </c>
      <c r="B7">
        <v>1502.8737283715609</v>
      </c>
      <c r="C7">
        <v>1502.2214579663939</v>
      </c>
      <c r="D7">
        <v>1503.525998776729</v>
      </c>
      <c r="E7">
        <v>1501.876166871361</v>
      </c>
      <c r="F7">
        <v>1503.871289871762</v>
      </c>
    </row>
    <row r="8" spans="1:6" x14ac:dyDescent="0.25">
      <c r="A8" s="2">
        <v>44743</v>
      </c>
      <c r="B8">
        <v>1632.3889725133311</v>
      </c>
      <c r="C8">
        <v>1631.7349534058999</v>
      </c>
      <c r="D8">
        <v>1633.042991620762</v>
      </c>
      <c r="E8">
        <v>1631.3887366038059</v>
      </c>
      <c r="F8">
        <v>1633.389208422856</v>
      </c>
    </row>
    <row r="9" spans="1:6" x14ac:dyDescent="0.25">
      <c r="A9" s="2">
        <v>44774</v>
      </c>
      <c r="B9">
        <v>1601.6197638938991</v>
      </c>
      <c r="C9">
        <v>1600.964936095666</v>
      </c>
      <c r="D9">
        <v>1602.2745916921319</v>
      </c>
      <c r="E9">
        <v>1600.6182911985211</v>
      </c>
      <c r="F9">
        <v>1602.621236589277</v>
      </c>
    </row>
    <row r="10" spans="1:6" x14ac:dyDescent="0.25">
      <c r="A10" s="2">
        <v>44805</v>
      </c>
      <c r="B10">
        <v>1499.4155257670809</v>
      </c>
      <c r="C10">
        <v>1498.760323881359</v>
      </c>
      <c r="D10">
        <v>1500.070727652803</v>
      </c>
      <c r="E10">
        <v>1498.4134809542591</v>
      </c>
      <c r="F10">
        <v>1500.417570579903</v>
      </c>
    </row>
    <row r="11" spans="1:6" x14ac:dyDescent="0.25">
      <c r="A11" s="2">
        <v>44835</v>
      </c>
      <c r="B11">
        <v>1685.9953190611659</v>
      </c>
      <c r="C11">
        <v>1685.3399446635451</v>
      </c>
      <c r="D11">
        <v>1686.6506934587881</v>
      </c>
      <c r="E11">
        <v>1684.993010414162</v>
      </c>
      <c r="F11">
        <v>1686.997627708171</v>
      </c>
    </row>
    <row r="12" spans="1:6" x14ac:dyDescent="0.25">
      <c r="A12" s="2">
        <v>44866</v>
      </c>
      <c r="B12">
        <v>1947.7077442223811</v>
      </c>
      <c r="C12">
        <v>1947.052291589275</v>
      </c>
      <c r="D12">
        <v>1948.363196855486</v>
      </c>
      <c r="E12">
        <v>1946.7053159245279</v>
      </c>
      <c r="F12">
        <v>1948.7101725202331</v>
      </c>
    </row>
    <row r="13" spans="1:6" x14ac:dyDescent="0.25">
      <c r="A13" s="2">
        <v>44896</v>
      </c>
      <c r="B13">
        <v>2903.9591348263662</v>
      </c>
      <c r="C13">
        <v>2903.3036496069171</v>
      </c>
      <c r="D13">
        <v>2904.6146200458152</v>
      </c>
      <c r="E13">
        <v>2902.9566566920021</v>
      </c>
      <c r="F13">
        <v>2904.9616129607298</v>
      </c>
    </row>
    <row r="14" spans="1:6" x14ac:dyDescent="0.25">
      <c r="A14" s="2">
        <v>44927</v>
      </c>
      <c r="B14">
        <v>1314.4003617075059</v>
      </c>
      <c r="C14">
        <v>1313.703999767916</v>
      </c>
      <c r="D14">
        <v>1315.096723647096</v>
      </c>
      <c r="E14">
        <v>1313.3353680244611</v>
      </c>
      <c r="F14">
        <v>1315.46535539055</v>
      </c>
    </row>
    <row r="15" spans="1:6" x14ac:dyDescent="0.25">
      <c r="A15" s="2">
        <v>44958</v>
      </c>
      <c r="B15">
        <v>1279.7641050560951</v>
      </c>
      <c r="C15">
        <v>1279.0495908151729</v>
      </c>
      <c r="D15">
        <v>1280.4786192970171</v>
      </c>
      <c r="E15">
        <v>1278.6713498238439</v>
      </c>
      <c r="F15">
        <v>1280.8568602883461</v>
      </c>
    </row>
    <row r="16" spans="1:6" x14ac:dyDescent="0.25">
      <c r="A16" s="2">
        <v>44986</v>
      </c>
      <c r="B16">
        <v>920.5670833580001</v>
      </c>
      <c r="C16">
        <v>919.84431094155048</v>
      </c>
      <c r="D16">
        <v>921.28985577444973</v>
      </c>
      <c r="E16">
        <v>919.46169833616659</v>
      </c>
      <c r="F16">
        <v>921.67246837983362</v>
      </c>
    </row>
    <row r="17" spans="1:6" x14ac:dyDescent="0.25">
      <c r="A17" s="2">
        <v>45017</v>
      </c>
      <c r="B17">
        <v>888.59653527376452</v>
      </c>
      <c r="C17">
        <v>887.8699674060864</v>
      </c>
      <c r="D17">
        <v>889.32310314144263</v>
      </c>
      <c r="E17">
        <v>887.48534561018823</v>
      </c>
      <c r="F17">
        <v>889.7077249373408</v>
      </c>
    </row>
    <row r="18" spans="1:6" x14ac:dyDescent="0.25">
      <c r="A18" s="2">
        <v>45047</v>
      </c>
      <c r="B18">
        <v>1369.8164670115179</v>
      </c>
      <c r="C18">
        <v>1369.088146847605</v>
      </c>
      <c r="D18">
        <v>1370.54478717543</v>
      </c>
      <c r="E18">
        <v>1368.7025974421131</v>
      </c>
      <c r="F18">
        <v>1370.9303365809219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MÉTRICAS</vt:lpstr>
      <vt:lpstr>PREVISAO_01</vt:lpstr>
      <vt:lpstr>PREVISAO_02</vt:lpstr>
      <vt:lpstr>PREVISAO_03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jeesarah</dc:creator>
  <cp:lastModifiedBy>Jefferson Sanches Leme</cp:lastModifiedBy>
  <dcterms:created xsi:type="dcterms:W3CDTF">2023-09-21T10:36:15Z</dcterms:created>
  <dcterms:modified xsi:type="dcterms:W3CDTF">2023-09-22T11:43:44Z</dcterms:modified>
</cp:coreProperties>
</file>