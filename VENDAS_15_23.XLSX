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CC\BASE_DADOS\"/>
    </mc:Choice>
  </mc:AlternateContent>
  <xr:revisionPtr revIDLastSave="0" documentId="13_ncr:1_{04FD5CE5-6A5F-48FF-9B4B-DD9BEC823CA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VENDA_01-2015_A_05-2023" sheetId="2" r:id="rId1"/>
    <sheet name="PARTICIPACAO_BASE_FECOMERCIO" sheetId="3" r:id="rId2"/>
    <sheet name="PRODUTOS" sheetId="4" r:id="rId3"/>
    <sheet name="BASE_GERADA" sheetId="1" r:id="rId4"/>
  </sheets>
  <definedNames>
    <definedName name="_xlnm._FilterDatabase" localSheetId="2" hidden="1">PRODUTOS!$A$1:$B$1</definedName>
  </definedNames>
  <calcPr calcId="191029"/>
</workbook>
</file>

<file path=xl/calcChain.xml><?xml version="1.0" encoding="utf-8"?>
<calcChain xmlns="http://schemas.openxmlformats.org/spreadsheetml/2006/main">
  <c r="C13" i="3" l="1"/>
  <c r="D13" i="3"/>
  <c r="E13" i="3"/>
  <c r="F13" i="3"/>
  <c r="G13" i="3"/>
  <c r="H13" i="3"/>
  <c r="I13" i="3"/>
  <c r="J13" i="3"/>
  <c r="K13" i="3"/>
  <c r="L13" i="3"/>
  <c r="M13" i="3"/>
  <c r="C14" i="3"/>
  <c r="D14" i="3"/>
  <c r="E14" i="3"/>
  <c r="F14" i="3"/>
  <c r="G14" i="3"/>
  <c r="H14" i="3"/>
  <c r="I14" i="3"/>
  <c r="J14" i="3"/>
  <c r="K14" i="3"/>
  <c r="L14" i="3"/>
  <c r="M14" i="3"/>
  <c r="C15" i="3"/>
  <c r="D15" i="3"/>
  <c r="E15" i="3"/>
  <c r="F15" i="3"/>
  <c r="G15" i="3"/>
  <c r="H15" i="3"/>
  <c r="I15" i="3"/>
  <c r="J15" i="3"/>
  <c r="K15" i="3"/>
  <c r="L15" i="3"/>
  <c r="M15" i="3"/>
  <c r="C16" i="3"/>
  <c r="D16" i="3"/>
  <c r="E16" i="3"/>
  <c r="F16" i="3"/>
  <c r="G16" i="3"/>
  <c r="H16" i="3"/>
  <c r="I16" i="3"/>
  <c r="J16" i="3"/>
  <c r="K16" i="3"/>
  <c r="L16" i="3"/>
  <c r="M16" i="3"/>
  <c r="C17" i="3"/>
  <c r="D17" i="3"/>
  <c r="E17" i="3"/>
  <c r="F17" i="3"/>
  <c r="G17" i="3"/>
  <c r="H17" i="3"/>
  <c r="I17" i="3"/>
  <c r="J17" i="3"/>
  <c r="K17" i="3"/>
  <c r="L17" i="3"/>
  <c r="M17" i="3"/>
  <c r="C18" i="3"/>
  <c r="D18" i="3"/>
  <c r="E18" i="3"/>
  <c r="F18" i="3"/>
  <c r="G18" i="3"/>
  <c r="H18" i="3"/>
  <c r="I18" i="3"/>
  <c r="J18" i="3"/>
  <c r="K18" i="3"/>
  <c r="L18" i="3"/>
  <c r="M18" i="3"/>
  <c r="C19" i="3"/>
  <c r="D19" i="3"/>
  <c r="E19" i="3"/>
  <c r="F19" i="3"/>
  <c r="G19" i="3"/>
  <c r="H19" i="3"/>
  <c r="I19" i="3"/>
  <c r="J19" i="3"/>
  <c r="K19" i="3"/>
  <c r="L19" i="3"/>
  <c r="M19" i="3"/>
  <c r="C20" i="3"/>
  <c r="D20" i="3"/>
  <c r="E20" i="3"/>
  <c r="F20" i="3"/>
  <c r="M12" i="3"/>
  <c r="L12" i="3"/>
  <c r="K12" i="3"/>
  <c r="J12" i="3"/>
  <c r="I12" i="3"/>
  <c r="H12" i="3"/>
  <c r="G12" i="3"/>
  <c r="F12" i="3"/>
  <c r="E12" i="3"/>
  <c r="D12" i="3"/>
  <c r="C12" i="3"/>
  <c r="B13" i="3"/>
  <c r="B14" i="3"/>
  <c r="B15" i="3"/>
  <c r="B16" i="3"/>
  <c r="B17" i="3"/>
  <c r="B18" i="3"/>
  <c r="B19" i="3"/>
  <c r="B20" i="3"/>
  <c r="B12" i="3"/>
  <c r="N3" i="3"/>
  <c r="N4" i="3"/>
  <c r="N5" i="3"/>
  <c r="N6" i="3"/>
  <c r="N7" i="3"/>
  <c r="N8" i="3"/>
  <c r="N9" i="3"/>
  <c r="N10" i="3"/>
  <c r="N2" i="3"/>
</calcChain>
</file>

<file path=xl/sharedStrings.xml><?xml version="1.0" encoding="utf-8"?>
<sst xmlns="http://schemas.openxmlformats.org/spreadsheetml/2006/main" count="66" uniqueCount="52">
  <si>
    <t>Quantidade</t>
  </si>
  <si>
    <t>ADULTO MASCULINO CALCA COLECAO</t>
  </si>
  <si>
    <t>ADULTO MASCULINO CUECA BASICO</t>
  </si>
  <si>
    <t>ADULTO MASCULINO CAMISETA BASICO</t>
  </si>
  <si>
    <t>ADULTO MASCULINO MOLETOM BASICO</t>
  </si>
  <si>
    <t>ADULTO MASCULINO REGATA BASICO</t>
  </si>
  <si>
    <t>ADULTO MASCULINO BLUSA COLECAO</t>
  </si>
  <si>
    <t>ADULTO MASCULINO BLAZER COLECAO</t>
  </si>
  <si>
    <t>ADULTO MASCULINO BERMUDA COLECAO</t>
  </si>
  <si>
    <t>ADULTO MASCULINO CAMISA POLO BASICO</t>
  </si>
  <si>
    <t>ADULTO MASCULINO SHORTS COLECAO</t>
  </si>
  <si>
    <t>ADULTO MASCULINO REGATA COLECAO</t>
  </si>
  <si>
    <t>ADULTO MASCULINO SHORTS BASICO</t>
  </si>
  <si>
    <t>ADULTO MASCULINO CAMISA COLECAO</t>
  </si>
  <si>
    <t>ADULTO MASCULINO MEIA BASICO</t>
  </si>
  <si>
    <t>ADULTO MASCULINO JAQUETA BASICO</t>
  </si>
  <si>
    <t>ADULTO MASCULINO CAMISA POLO COLECAO</t>
  </si>
  <si>
    <t>ADULTO MASCULINO BLUSA BASICO</t>
  </si>
  <si>
    <t>ADULTO MASCULINO CAMISA BASICO</t>
  </si>
  <si>
    <t>ADULTO MASCULINO MEIA COLECAO</t>
  </si>
  <si>
    <t>ADULTO MASCULINO JAQUETA COLECAO</t>
  </si>
  <si>
    <t>ADULTO MASCULINO CAMISETA COLECAO</t>
  </si>
  <si>
    <t>ADULTO MASCULINO MOLETOM COLECAO</t>
  </si>
  <si>
    <t>ADULTO MASCULINO BERMUDA BASICO</t>
  </si>
  <si>
    <t>ADULTO MASCULINO CALCA BASICO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</si>
  <si>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</si>
  <si>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</si>
  <si>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</si>
  <si>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</si>
  <si>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</si>
  <si>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</si>
  <si>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</si>
  <si>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</si>
  <si>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</si>
  <si>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</si>
  <si>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</si>
  <si>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</si>
  <si>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</si>
  <si>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</si>
  <si>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</si>
  <si>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</si>
  <si>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</si>
  <si>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</si>
  <si>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</si>
  <si>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</si>
  <si>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</si>
  <si>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</si>
  <si>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</si>
  <si>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PRODUTOS</t>
  </si>
  <si>
    <t>PARTICIPACAO</t>
  </si>
  <si>
    <t>PRECO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</si>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</sst>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9" formatCode="#,##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3" fontId="0" fillId="0" borderId="0" xfId="0" applyNumberFormat="1" applyFont="1" applyFill="1"/>
    <xf numFmtId="3" fontId="0" fillId="0" borderId="0" xfId="0" applyNumberFormat="1"/>
    <xf numFmtId="169" fontId="0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817C7-3084-49D1-879B-B760492BF267}">
  <dimension ref="A1:N10"/>
  <sheetViews>
    <sheetView tabSelected="1" workbookViewId="0">
      <selection activeCell="D27" sqref="D27"/>
    </sheetView>
  </sheetViews>
  <sheetFormatPr defaultRowHeight="15" x14ac:dyDescent="0.25"/>
  <cols>
    <col min="1" max="1" width="18" bestFit="1" customWidth="1"/>
    <col min="2" max="2" width="6.5703125" bestFit="1" customWidth="1"/>
    <col min="3" max="3" width="8.5703125" bestFit="1" customWidth="1"/>
    <col min="4" max="4" width="10.5703125" bestFit="1" customWidth="1"/>
    <col min="5" max="5" width="7.7109375" bestFit="1" customWidth="1"/>
    <col min="6" max="6" width="6" bestFit="1" customWidth="1"/>
    <col min="7" max="7" width="7.28515625" customWidth="1"/>
    <col min="8" max="8" width="7.140625" bestFit="1" customWidth="1"/>
    <col min="9" max="9" width="6.5703125" bestFit="1" customWidth="1"/>
    <col min="10" max="10" width="8.42578125" bestFit="1" customWidth="1"/>
    <col min="11" max="11" width="10.42578125" bestFit="1" customWidth="1"/>
    <col min="12" max="12" width="9.7109375" bestFit="1" customWidth="1"/>
    <col min="13" max="13" width="11.5703125" bestFit="1" customWidth="1"/>
    <col min="14" max="14" width="10.7109375" bestFit="1" customWidth="1"/>
  </cols>
  <sheetData>
    <row r="1" spans="1:14" x14ac:dyDescent="0.25">
      <c r="A1" t="s">
        <v>34</v>
      </c>
      <c r="B1" t="s">
        <v>47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</row>
    <row r="2" spans="1:14" x14ac:dyDescent="0.25">
      <c r="A2" t="s">
        <v>25</v>
      </c>
      <c r="B2">
        <v>17493</v>
      </c>
      <c r="C2">
        <v>1018</v>
      </c>
      <c r="D2">
        <v>906</v>
      </c>
      <c r="E2">
        <v>1133</v>
      </c>
      <c r="F2">
        <v>1711</v>
      </c>
      <c r="G2">
        <v>1849</v>
      </c>
      <c r="H2">
        <v>1455</v>
      </c>
      <c r="I2">
        <v>1416</v>
      </c>
      <c r="J2">
        <v>1334</v>
      </c>
      <c r="K2">
        <v>1254</v>
      </c>
      <c r="L2">
        <v>1429</v>
      </c>
      <c r="M2">
        <v>1511</v>
      </c>
      <c r="N2">
        <v>2477</v>
      </c>
    </row>
    <row r="3" spans="1:14" x14ac:dyDescent="0.25">
      <c r="A3" t="s">
        <v>26</v>
      </c>
      <c r="B3">
        <v>18063</v>
      </c>
      <c r="C3">
        <v>1470</v>
      </c>
      <c r="D3">
        <v>1148</v>
      </c>
      <c r="E3">
        <v>1246</v>
      </c>
      <c r="F3">
        <v>1298</v>
      </c>
      <c r="G3">
        <v>1648</v>
      </c>
      <c r="H3">
        <v>1663</v>
      </c>
      <c r="I3">
        <v>1404</v>
      </c>
      <c r="J3">
        <v>1341</v>
      </c>
      <c r="K3">
        <v>1269</v>
      </c>
      <c r="L3">
        <v>1387</v>
      </c>
      <c r="M3">
        <v>1566</v>
      </c>
      <c r="N3">
        <v>2623</v>
      </c>
    </row>
    <row r="4" spans="1:14" x14ac:dyDescent="0.25">
      <c r="A4" t="s">
        <v>27</v>
      </c>
      <c r="B4">
        <v>18832</v>
      </c>
      <c r="C4">
        <v>1282</v>
      </c>
      <c r="D4">
        <v>1149</v>
      </c>
      <c r="E4">
        <v>1370</v>
      </c>
      <c r="F4">
        <v>1438</v>
      </c>
      <c r="G4">
        <v>1645</v>
      </c>
      <c r="H4">
        <v>1633</v>
      </c>
      <c r="I4">
        <v>1581</v>
      </c>
      <c r="J4">
        <v>1519</v>
      </c>
      <c r="K4">
        <v>1383</v>
      </c>
      <c r="L4">
        <v>1435</v>
      </c>
      <c r="M4">
        <v>1602</v>
      </c>
      <c r="N4">
        <v>2795</v>
      </c>
    </row>
    <row r="5" spans="1:14" x14ac:dyDescent="0.25">
      <c r="A5" t="s">
        <v>28</v>
      </c>
      <c r="B5">
        <v>17902</v>
      </c>
      <c r="C5">
        <v>1186</v>
      </c>
      <c r="D5">
        <v>1053</v>
      </c>
      <c r="E5">
        <v>1290</v>
      </c>
      <c r="F5">
        <v>1344</v>
      </c>
      <c r="G5">
        <v>1516</v>
      </c>
      <c r="H5">
        <v>1547</v>
      </c>
      <c r="I5">
        <v>1418</v>
      </c>
      <c r="J5">
        <v>1537</v>
      </c>
      <c r="K5">
        <v>1393</v>
      </c>
      <c r="L5">
        <v>1380</v>
      </c>
      <c r="M5">
        <v>1615</v>
      </c>
      <c r="N5">
        <v>2623</v>
      </c>
    </row>
    <row r="6" spans="1:14" x14ac:dyDescent="0.25">
      <c r="A6" t="s">
        <v>29</v>
      </c>
      <c r="B6">
        <v>19014</v>
      </c>
      <c r="C6">
        <v>1293</v>
      </c>
      <c r="D6">
        <v>1208</v>
      </c>
      <c r="E6">
        <v>1335</v>
      </c>
      <c r="F6">
        <v>1362</v>
      </c>
      <c r="G6">
        <v>1573</v>
      </c>
      <c r="H6">
        <v>1638</v>
      </c>
      <c r="I6">
        <v>1583</v>
      </c>
      <c r="J6">
        <v>1540</v>
      </c>
      <c r="K6">
        <v>1436</v>
      </c>
      <c r="L6">
        <v>1548</v>
      </c>
      <c r="M6">
        <v>1770</v>
      </c>
      <c r="N6">
        <v>2728</v>
      </c>
    </row>
    <row r="7" spans="1:14" x14ac:dyDescent="0.25">
      <c r="A7" t="s">
        <v>30</v>
      </c>
      <c r="B7">
        <v>17840</v>
      </c>
      <c r="C7">
        <v>1738</v>
      </c>
      <c r="D7">
        <v>1575</v>
      </c>
      <c r="E7">
        <v>1024</v>
      </c>
      <c r="F7">
        <v>298</v>
      </c>
      <c r="G7">
        <v>490</v>
      </c>
      <c r="H7">
        <v>1024</v>
      </c>
      <c r="I7">
        <v>1543</v>
      </c>
      <c r="J7">
        <v>1608</v>
      </c>
      <c r="K7">
        <v>1580</v>
      </c>
      <c r="L7">
        <v>1839</v>
      </c>
      <c r="M7">
        <v>2091</v>
      </c>
      <c r="N7">
        <v>3030</v>
      </c>
    </row>
    <row r="8" spans="1:14" x14ac:dyDescent="0.25">
      <c r="A8" t="s">
        <v>31</v>
      </c>
      <c r="B8">
        <v>18648</v>
      </c>
      <c r="C8">
        <v>1045</v>
      </c>
      <c r="D8">
        <v>1152</v>
      </c>
      <c r="E8">
        <v>611</v>
      </c>
      <c r="F8">
        <v>894</v>
      </c>
      <c r="G8">
        <v>1688</v>
      </c>
      <c r="H8">
        <v>1671</v>
      </c>
      <c r="I8">
        <v>1728</v>
      </c>
      <c r="J8">
        <v>1640</v>
      </c>
      <c r="K8">
        <v>1510</v>
      </c>
      <c r="L8">
        <v>1724</v>
      </c>
      <c r="M8">
        <v>2024</v>
      </c>
      <c r="N8">
        <v>2961</v>
      </c>
    </row>
    <row r="9" spans="1:14" x14ac:dyDescent="0.25">
      <c r="A9" t="s">
        <v>32</v>
      </c>
      <c r="B9">
        <v>18542</v>
      </c>
      <c r="C9">
        <v>1112</v>
      </c>
      <c r="D9">
        <v>1147</v>
      </c>
      <c r="E9">
        <v>1339</v>
      </c>
      <c r="F9">
        <v>1457</v>
      </c>
      <c r="G9">
        <v>1800</v>
      </c>
      <c r="H9">
        <v>1612</v>
      </c>
      <c r="I9">
        <v>1460</v>
      </c>
      <c r="J9">
        <v>1527</v>
      </c>
      <c r="K9">
        <v>1430</v>
      </c>
      <c r="L9">
        <v>1447</v>
      </c>
      <c r="M9">
        <v>1665</v>
      </c>
      <c r="N9">
        <v>2546</v>
      </c>
    </row>
    <row r="10" spans="1:14" x14ac:dyDescent="0.25">
      <c r="A10" t="s">
        <v>33</v>
      </c>
      <c r="B10">
        <v>8375</v>
      </c>
      <c r="C10">
        <v>1431</v>
      </c>
      <c r="D10">
        <v>1368</v>
      </c>
      <c r="E10">
        <v>1734</v>
      </c>
      <c r="F10">
        <v>1785</v>
      </c>
      <c r="G10">
        <v>2057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3EBA0-414A-433F-B487-35CB5E809E2C}">
  <dimension ref="A1:N20"/>
  <sheetViews>
    <sheetView workbookViewId="0">
      <selection activeCell="B29" sqref="B29"/>
    </sheetView>
  </sheetViews>
  <sheetFormatPr defaultRowHeight="15" x14ac:dyDescent="0.25"/>
  <cols>
    <col min="2" max="13" width="12.7109375" style="3" bestFit="1" customWidth="1"/>
    <col min="14" max="14" width="13.85546875" bestFit="1" customWidth="1"/>
  </cols>
  <sheetData>
    <row r="1" spans="1:14" x14ac:dyDescent="0.25">
      <c r="A1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</row>
    <row r="2" spans="1:14" x14ac:dyDescent="0.25">
      <c r="A2">
        <v>2015</v>
      </c>
      <c r="B2" s="3">
        <v>1660809952.9884427</v>
      </c>
      <c r="C2" s="3">
        <v>1476616509.6810234</v>
      </c>
      <c r="D2" s="3">
        <v>1848729231.3390796</v>
      </c>
      <c r="E2" s="3">
        <v>2791573043.5008254</v>
      </c>
      <c r="F2" s="3">
        <v>3016932234.1266389</v>
      </c>
      <c r="G2" s="3">
        <v>2373291198.2461352</v>
      </c>
      <c r="H2" s="3">
        <v>2310433567.0779614</v>
      </c>
      <c r="I2" s="3">
        <v>2176445062.2387943</v>
      </c>
      <c r="J2" s="3">
        <v>2045484435.49424</v>
      </c>
      <c r="K2" s="3">
        <v>2330745608.3025403</v>
      </c>
      <c r="L2" s="3">
        <v>2464942546.7606449</v>
      </c>
      <c r="M2" s="3">
        <v>4040499743.5773659</v>
      </c>
      <c r="N2" s="4">
        <f>SUM(B2:M2)</f>
        <v>28536503133.333691</v>
      </c>
    </row>
    <row r="3" spans="1:14" x14ac:dyDescent="0.25">
      <c r="A3">
        <v>2016</v>
      </c>
      <c r="B3" s="3">
        <v>2200397288.6306667</v>
      </c>
      <c r="C3" s="3">
        <v>1717758159.4919074</v>
      </c>
      <c r="D3" s="3">
        <v>1864131911.5243001</v>
      </c>
      <c r="E3" s="3">
        <v>1942262424.4766102</v>
      </c>
      <c r="F3" s="3">
        <v>2466362517.4745235</v>
      </c>
      <c r="G3" s="3">
        <v>2489311698.0136242</v>
      </c>
      <c r="H3" s="3">
        <v>2100947542.7418454</v>
      </c>
      <c r="I3" s="3">
        <v>2006768780.1313505</v>
      </c>
      <c r="J3" s="3">
        <v>1899286826.822865</v>
      </c>
      <c r="K3" s="3">
        <v>2075570547.3311529</v>
      </c>
      <c r="L3" s="3">
        <v>2343643128.9311686</v>
      </c>
      <c r="M3" s="3">
        <v>3924784744.2865562</v>
      </c>
      <c r="N3" s="4">
        <f t="shared" ref="N3:N10" si="0">SUM(B3:M3)</f>
        <v>27031225569.856571</v>
      </c>
    </row>
    <row r="4" spans="1:14" x14ac:dyDescent="0.25">
      <c r="A4">
        <v>2017</v>
      </c>
      <c r="B4" s="3">
        <v>1896391749.0022557</v>
      </c>
      <c r="C4" s="3">
        <v>1700039632.8998463</v>
      </c>
      <c r="D4" s="3">
        <v>2027465846.708992</v>
      </c>
      <c r="E4" s="3">
        <v>2127710108.1226361</v>
      </c>
      <c r="F4" s="3">
        <v>2433000027.5770082</v>
      </c>
      <c r="G4" s="3">
        <v>2415832299.0175791</v>
      </c>
      <c r="H4" s="3">
        <v>2338512152.2124081</v>
      </c>
      <c r="I4" s="3">
        <v>2246850607.6414342</v>
      </c>
      <c r="J4" s="3">
        <v>2046408593.0459468</v>
      </c>
      <c r="K4" s="3">
        <v>2122369945.7723966</v>
      </c>
      <c r="L4" s="3">
        <v>2370481718.8567824</v>
      </c>
      <c r="M4" s="3">
        <v>4134721596.3934655</v>
      </c>
      <c r="N4" s="4">
        <f t="shared" si="0"/>
        <v>27859784277.250751</v>
      </c>
    </row>
    <row r="5" spans="1:14" x14ac:dyDescent="0.25">
      <c r="A5">
        <v>2018</v>
      </c>
      <c r="B5" s="3">
        <v>1919618769.6479754</v>
      </c>
      <c r="C5" s="3">
        <v>1703930236.778336</v>
      </c>
      <c r="D5" s="3">
        <v>2088239432.103107</v>
      </c>
      <c r="E5" s="3">
        <v>2175545287.5844522</v>
      </c>
      <c r="F5" s="3">
        <v>2454214386.3605618</v>
      </c>
      <c r="G5" s="3">
        <v>2503728247.3995471</v>
      </c>
      <c r="H5" s="3">
        <v>2295950738.3942013</v>
      </c>
      <c r="I5" s="3">
        <v>2488675150.7838035</v>
      </c>
      <c r="J5" s="3">
        <v>2254478551.1669869</v>
      </c>
      <c r="K5" s="3">
        <v>2234554584.5101242</v>
      </c>
      <c r="L5" s="3">
        <v>2614287255.4620085</v>
      </c>
      <c r="M5" s="3">
        <v>4246502129.2763128</v>
      </c>
      <c r="N5" s="4">
        <f t="shared" si="0"/>
        <v>28979724769.467419</v>
      </c>
    </row>
    <row r="6" spans="1:14" x14ac:dyDescent="0.25">
      <c r="A6">
        <v>2019</v>
      </c>
      <c r="B6" s="3">
        <v>2079577192.0047071</v>
      </c>
      <c r="C6" s="3">
        <v>1939890664.7509515</v>
      </c>
      <c r="D6" s="3">
        <v>2147274073.9265823</v>
      </c>
      <c r="E6" s="3">
        <v>2190178838.983623</v>
      </c>
      <c r="F6" s="3">
        <v>2530092072.3696427</v>
      </c>
      <c r="G6" s="3">
        <v>2633513636.7138319</v>
      </c>
      <c r="H6" s="3">
        <v>2546272819.2806211</v>
      </c>
      <c r="I6" s="3">
        <v>2476248542.8197408</v>
      </c>
      <c r="J6" s="3">
        <v>2309900753.1886005</v>
      </c>
      <c r="K6" s="3">
        <v>2489991350.9617229</v>
      </c>
      <c r="L6" s="3">
        <v>2845849243.9436536</v>
      </c>
      <c r="M6" s="3">
        <v>4386338275.0838671</v>
      </c>
      <c r="N6" s="4">
        <f t="shared" si="0"/>
        <v>30575127464.027542</v>
      </c>
    </row>
    <row r="7" spans="1:14" x14ac:dyDescent="0.25">
      <c r="A7">
        <v>2020</v>
      </c>
      <c r="B7" s="3">
        <v>2315754989.6703696</v>
      </c>
      <c r="C7" s="3">
        <v>2099477949.8974938</v>
      </c>
      <c r="D7" s="3">
        <v>1364510344.4850202</v>
      </c>
      <c r="E7" s="3">
        <v>397234577.99729633</v>
      </c>
      <c r="F7" s="3">
        <v>653351804.68620718</v>
      </c>
      <c r="G7" s="3">
        <v>1363826923.0566576</v>
      </c>
      <c r="H7" s="3">
        <v>2055564566.605756</v>
      </c>
      <c r="I7" s="3">
        <v>2142318304.6457987</v>
      </c>
      <c r="J7" s="3">
        <v>2105191147.438273</v>
      </c>
      <c r="K7" s="3">
        <v>2450389388.0042071</v>
      </c>
      <c r="L7" s="3">
        <v>2786617297.2875614</v>
      </c>
      <c r="M7" s="3">
        <v>4037382002.5814891</v>
      </c>
      <c r="N7" s="4">
        <f t="shared" si="0"/>
        <v>23771619296.356129</v>
      </c>
    </row>
    <row r="8" spans="1:14" x14ac:dyDescent="0.25">
      <c r="A8">
        <v>2021</v>
      </c>
      <c r="B8" s="3">
        <v>1788318478.5186536</v>
      </c>
      <c r="C8" s="3">
        <v>1970750501.6604159</v>
      </c>
      <c r="D8" s="3">
        <v>1044522657.68382</v>
      </c>
      <c r="E8" s="3">
        <v>1528468465.9864812</v>
      </c>
      <c r="F8" s="3">
        <v>2887345054.4721351</v>
      </c>
      <c r="G8" s="3">
        <v>2857721521.5371442</v>
      </c>
      <c r="H8" s="3">
        <v>2956387185.7147098</v>
      </c>
      <c r="I8" s="3">
        <v>2804652281.4624639</v>
      </c>
      <c r="J8" s="3">
        <v>2583809537.8130531</v>
      </c>
      <c r="K8" s="3">
        <v>2949337960.3854871</v>
      </c>
      <c r="L8" s="3">
        <v>3462866549.9159703</v>
      </c>
      <c r="M8" s="3">
        <v>5064705919.2535677</v>
      </c>
      <c r="N8" s="4">
        <f t="shared" si="0"/>
        <v>31898886114.4039</v>
      </c>
    </row>
    <row r="9" spans="1:14" x14ac:dyDescent="0.25">
      <c r="A9">
        <v>2022</v>
      </c>
      <c r="B9" s="3">
        <v>2355101730.547195</v>
      </c>
      <c r="C9" s="3">
        <v>2429777688.5460534</v>
      </c>
      <c r="D9" s="3">
        <v>2835565128.6154265</v>
      </c>
      <c r="E9" s="3">
        <v>3084782256.5021963</v>
      </c>
      <c r="F9" s="3">
        <v>3812513950.2698994</v>
      </c>
      <c r="G9" s="3">
        <v>3413789623.0024118</v>
      </c>
      <c r="H9" s="3">
        <v>3091353142.7288218</v>
      </c>
      <c r="I9" s="3">
        <v>3234129999.6798482</v>
      </c>
      <c r="J9" s="3">
        <v>3029506574.6760945</v>
      </c>
      <c r="K9" s="3">
        <v>3064394313.7097306</v>
      </c>
      <c r="L9" s="3">
        <v>3526576377.1799445</v>
      </c>
      <c r="M9" s="3">
        <v>5392365644.2692499</v>
      </c>
      <c r="N9" s="4">
        <f t="shared" si="0"/>
        <v>39269856429.726875</v>
      </c>
    </row>
    <row r="10" spans="1:14" x14ac:dyDescent="0.25">
      <c r="A10">
        <v>2023</v>
      </c>
      <c r="B10" s="3">
        <v>2703099834.7979774</v>
      </c>
      <c r="C10" s="3">
        <v>2585103900.4572558</v>
      </c>
      <c r="D10" s="3">
        <v>3276546822.0117674</v>
      </c>
      <c r="E10" s="3">
        <v>3372276285.8031268</v>
      </c>
      <c r="F10" s="3">
        <v>3885736235.7816453</v>
      </c>
      <c r="N10" s="4">
        <f t="shared" si="0"/>
        <v>15822763078.851772</v>
      </c>
    </row>
    <row r="12" spans="1:14" x14ac:dyDescent="0.25">
      <c r="A12">
        <v>2015</v>
      </c>
      <c r="B12" s="5">
        <f>B2/N2</f>
        <v>5.8199490849614254E-2</v>
      </c>
      <c r="C12" s="5">
        <f>C2/N2</f>
        <v>5.174483021909497E-2</v>
      </c>
      <c r="D12" s="5">
        <f>D2/N2</f>
        <v>6.4784715306605525E-2</v>
      </c>
      <c r="E12" s="5">
        <f>E2/N2</f>
        <v>9.7824636412440075E-2</v>
      </c>
      <c r="F12" s="5">
        <f>F2/N2</f>
        <v>0.1057218615760436</v>
      </c>
      <c r="G12" s="5">
        <f>G2/N2</f>
        <v>8.3166854297360523E-2</v>
      </c>
      <c r="H12" s="5">
        <f>H2/N2</f>
        <v>8.0964144635476645E-2</v>
      </c>
      <c r="I12" s="5">
        <f>I2/N2</f>
        <v>7.6268807431295729E-2</v>
      </c>
      <c r="J12" s="5">
        <f>J2/N2</f>
        <v>7.1679575662685013E-2</v>
      </c>
      <c r="K12" s="5">
        <f>K2/N2</f>
        <v>8.1675936165422458E-2</v>
      </c>
      <c r="L12" s="5">
        <f>L2/N2</f>
        <v>8.6378577474733695E-2</v>
      </c>
      <c r="M12" s="5">
        <f>M2/N2</f>
        <v>0.14159056996922759</v>
      </c>
      <c r="N12" s="5"/>
    </row>
    <row r="13" spans="1:14" x14ac:dyDescent="0.25">
      <c r="A13">
        <v>2016</v>
      </c>
      <c r="B13" s="5">
        <f t="shared" ref="B13:B20" si="1">B3/N3</f>
        <v>8.1402054188930442E-2</v>
      </c>
      <c r="C13" s="5">
        <f t="shared" ref="C13:C20" si="2">C3/N3</f>
        <v>6.3547180095579428E-2</v>
      </c>
      <c r="D13" s="5">
        <f t="shared" ref="D13:D20" si="3">D3/N3</f>
        <v>6.8962167723651283E-2</v>
      </c>
      <c r="E13" s="5">
        <f t="shared" ref="E13:E20" si="4">E3/N3</f>
        <v>7.1852547693675134E-2</v>
      </c>
      <c r="F13" s="5">
        <f t="shared" ref="F13:F20" si="5">F3/N3</f>
        <v>9.124123917728863E-2</v>
      </c>
      <c r="G13" s="5">
        <f t="shared" ref="G13:G20" si="6">G3/N3</f>
        <v>9.209022697030575E-2</v>
      </c>
      <c r="H13" s="5">
        <f t="shared" ref="H13:H20" si="7">H3/N3</f>
        <v>7.7722985120019225E-2</v>
      </c>
      <c r="I13" s="5">
        <f t="shared" ref="I13:I20" si="8">I3/N3</f>
        <v>7.4238912140527066E-2</v>
      </c>
      <c r="J13" s="5">
        <f t="shared" ref="J13:J20" si="9">J3/N3</f>
        <v>7.0262697557480477E-2</v>
      </c>
      <c r="K13" s="5">
        <f t="shared" ref="K13:K20" si="10">K3/N3</f>
        <v>7.6784182129192524E-2</v>
      </c>
      <c r="L13" s="5">
        <f t="shared" ref="L13:L20" si="11">L3/N3</f>
        <v>8.6701327058756966E-2</v>
      </c>
      <c r="M13" s="5">
        <f t="shared" ref="M13:M20" si="12">M3/N3</f>
        <v>0.14519448014459307</v>
      </c>
    </row>
    <row r="14" spans="1:14" x14ac:dyDescent="0.25">
      <c r="A14">
        <v>2017</v>
      </c>
      <c r="B14" s="5">
        <f t="shared" si="1"/>
        <v>6.8069146915497744E-2</v>
      </c>
      <c r="C14" s="5">
        <f t="shared" si="2"/>
        <v>6.1021277694818139E-2</v>
      </c>
      <c r="D14" s="5">
        <f t="shared" si="3"/>
        <v>7.2773924827714623E-2</v>
      </c>
      <c r="E14" s="5">
        <f t="shared" si="4"/>
        <v>7.6372095596592388E-2</v>
      </c>
      <c r="F14" s="5">
        <f t="shared" si="5"/>
        <v>8.733018186230912E-2</v>
      </c>
      <c r="G14" s="5">
        <f t="shared" si="6"/>
        <v>8.6713962856857313E-2</v>
      </c>
      <c r="H14" s="5">
        <f t="shared" si="7"/>
        <v>8.3938631000884986E-2</v>
      </c>
      <c r="I14" s="5">
        <f t="shared" si="8"/>
        <v>8.0648528548590656E-2</v>
      </c>
      <c r="J14" s="5">
        <f t="shared" si="9"/>
        <v>7.3453856378815061E-2</v>
      </c>
      <c r="K14" s="5">
        <f t="shared" si="10"/>
        <v>7.6180415636076693E-2</v>
      </c>
      <c r="L14" s="5">
        <f t="shared" si="11"/>
        <v>8.5086147662400538E-2</v>
      </c>
      <c r="M14" s="5">
        <f t="shared" si="12"/>
        <v>0.14841183101944272</v>
      </c>
    </row>
    <row r="15" spans="1:14" x14ac:dyDescent="0.25">
      <c r="A15">
        <v>2018</v>
      </c>
      <c r="B15" s="5">
        <f t="shared" si="1"/>
        <v>6.6240062144084108E-2</v>
      </c>
      <c r="C15" s="5">
        <f t="shared" si="2"/>
        <v>5.8797322967455164E-2</v>
      </c>
      <c r="D15" s="5">
        <f t="shared" si="3"/>
        <v>7.2058635777771191E-2</v>
      </c>
      <c r="E15" s="5">
        <f t="shared" si="4"/>
        <v>7.5071288802458627E-2</v>
      </c>
      <c r="F15" s="5">
        <f t="shared" si="5"/>
        <v>8.4687291058964206E-2</v>
      </c>
      <c r="G15" s="5">
        <f t="shared" si="6"/>
        <v>8.6395860116567968E-2</v>
      </c>
      <c r="H15" s="5">
        <f t="shared" si="7"/>
        <v>7.9226105722480109E-2</v>
      </c>
      <c r="I15" s="5">
        <f t="shared" si="8"/>
        <v>8.5876424658312578E-2</v>
      </c>
      <c r="J15" s="5">
        <f t="shared" si="9"/>
        <v>7.7795029769995264E-2</v>
      </c>
      <c r="K15" s="5">
        <f t="shared" si="10"/>
        <v>7.7107515764415255E-2</v>
      </c>
      <c r="L15" s="5">
        <f t="shared" si="11"/>
        <v>9.0210906979226402E-2</v>
      </c>
      <c r="M15" s="5">
        <f t="shared" si="12"/>
        <v>0.14653355623826905</v>
      </c>
    </row>
    <row r="16" spans="1:14" x14ac:dyDescent="0.25">
      <c r="A16">
        <v>2019</v>
      </c>
      <c r="B16" s="5">
        <f t="shared" si="1"/>
        <v>6.8015323712105058E-2</v>
      </c>
      <c r="C16" s="5">
        <f t="shared" si="2"/>
        <v>6.3446691008346073E-2</v>
      </c>
      <c r="D16" s="5">
        <f t="shared" si="3"/>
        <v>7.0229439810280694E-2</v>
      </c>
      <c r="E16" s="5">
        <f t="shared" si="4"/>
        <v>7.1632696922046435E-2</v>
      </c>
      <c r="F16" s="5">
        <f t="shared" si="5"/>
        <v>8.2750008985125703E-2</v>
      </c>
      <c r="G16" s="5">
        <f t="shared" si="6"/>
        <v>8.6132548091981995E-2</v>
      </c>
      <c r="H16" s="5">
        <f t="shared" si="7"/>
        <v>8.3279221722832697E-2</v>
      </c>
      <c r="I16" s="5">
        <f t="shared" si="8"/>
        <v>8.0988985106705227E-2</v>
      </c>
      <c r="J16" s="5">
        <f t="shared" si="9"/>
        <v>7.5548360539339068E-2</v>
      </c>
      <c r="K16" s="5">
        <f t="shared" si="10"/>
        <v>8.1438461831149014E-2</v>
      </c>
      <c r="L16" s="5">
        <f t="shared" si="11"/>
        <v>9.3077265083910815E-2</v>
      </c>
      <c r="M16" s="5">
        <f t="shared" si="12"/>
        <v>0.14346099718617727</v>
      </c>
    </row>
    <row r="17" spans="1:13" x14ac:dyDescent="0.25">
      <c r="A17">
        <v>2020</v>
      </c>
      <c r="B17" s="5">
        <f t="shared" si="1"/>
        <v>9.7416796087818211E-2</v>
      </c>
      <c r="C17" s="5">
        <f t="shared" si="2"/>
        <v>8.8318676305711982E-2</v>
      </c>
      <c r="D17" s="5">
        <f t="shared" si="3"/>
        <v>5.7400815967727586E-2</v>
      </c>
      <c r="E17" s="5">
        <f t="shared" si="4"/>
        <v>1.6710455145905315E-2</v>
      </c>
      <c r="F17" s="5">
        <f t="shared" si="5"/>
        <v>2.7484530882856486E-2</v>
      </c>
      <c r="G17" s="5">
        <f t="shared" si="6"/>
        <v>5.7372066498882303E-2</v>
      </c>
      <c r="H17" s="5">
        <f t="shared" si="7"/>
        <v>8.6471373320405082E-2</v>
      </c>
      <c r="I17" s="5">
        <f t="shared" si="8"/>
        <v>9.0120840231283167E-2</v>
      </c>
      <c r="J17" s="5">
        <f t="shared" si="9"/>
        <v>8.8559013216275531E-2</v>
      </c>
      <c r="K17" s="5">
        <f t="shared" si="10"/>
        <v>0.10308045730733283</v>
      </c>
      <c r="L17" s="5">
        <f t="shared" si="11"/>
        <v>0.11722454673984757</v>
      </c>
      <c r="M17" s="5">
        <f t="shared" si="12"/>
        <v>0.16984042829595397</v>
      </c>
    </row>
    <row r="18" spans="1:13" x14ac:dyDescent="0.25">
      <c r="A18">
        <v>2021</v>
      </c>
      <c r="B18" s="5">
        <f t="shared" si="1"/>
        <v>5.6062097971224793E-2</v>
      </c>
      <c r="C18" s="5">
        <f t="shared" si="2"/>
        <v>6.1781169868828936E-2</v>
      </c>
      <c r="D18" s="5">
        <f t="shared" si="3"/>
        <v>3.2744800365056233E-2</v>
      </c>
      <c r="E18" s="5">
        <f t="shared" si="4"/>
        <v>4.7916045109058003E-2</v>
      </c>
      <c r="F18" s="5">
        <f t="shared" si="5"/>
        <v>9.0515544778485488E-2</v>
      </c>
      <c r="G18" s="5">
        <f t="shared" si="6"/>
        <v>8.9586874955070728E-2</v>
      </c>
      <c r="H18" s="5">
        <f t="shared" si="7"/>
        <v>9.267995048829486E-2</v>
      </c>
      <c r="I18" s="5">
        <f t="shared" si="8"/>
        <v>8.79232043214207E-2</v>
      </c>
      <c r="J18" s="5">
        <f t="shared" si="9"/>
        <v>8.0999992556051587E-2</v>
      </c>
      <c r="K18" s="5">
        <f t="shared" si="10"/>
        <v>9.2458963921430395E-2</v>
      </c>
      <c r="L18" s="5">
        <f t="shared" si="11"/>
        <v>0.1085576009612548</v>
      </c>
      <c r="M18" s="5">
        <f t="shared" si="12"/>
        <v>0.15877375470382354</v>
      </c>
    </row>
    <row r="19" spans="1:13" x14ac:dyDescent="0.25">
      <c r="A19">
        <v>2022</v>
      </c>
      <c r="B19" s="5">
        <f t="shared" si="1"/>
        <v>5.9972252120698032E-2</v>
      </c>
      <c r="C19" s="5">
        <f t="shared" si="2"/>
        <v>6.1873862281470855E-2</v>
      </c>
      <c r="D19" s="5">
        <f t="shared" si="3"/>
        <v>7.2207168205202121E-2</v>
      </c>
      <c r="E19" s="5">
        <f t="shared" si="4"/>
        <v>7.855343861575842E-2</v>
      </c>
      <c r="F19" s="5">
        <f t="shared" si="5"/>
        <v>9.7084998441294673E-2</v>
      </c>
      <c r="G19" s="5">
        <f t="shared" si="6"/>
        <v>8.6931553445105253E-2</v>
      </c>
      <c r="H19" s="5">
        <f t="shared" si="7"/>
        <v>7.8720765079973637E-2</v>
      </c>
      <c r="I19" s="5">
        <f t="shared" si="8"/>
        <v>8.2356552677173664E-2</v>
      </c>
      <c r="J19" s="5">
        <f t="shared" si="9"/>
        <v>7.7145853081927479E-2</v>
      </c>
      <c r="K19" s="5">
        <f t="shared" si="10"/>
        <v>7.8034263231734555E-2</v>
      </c>
      <c r="L19" s="5">
        <f t="shared" si="11"/>
        <v>8.9803648340062756E-2</v>
      </c>
      <c r="M19" s="5">
        <f t="shared" si="12"/>
        <v>0.13731564447959849</v>
      </c>
    </row>
    <row r="20" spans="1:13" x14ac:dyDescent="0.25">
      <c r="A20">
        <v>2023</v>
      </c>
      <c r="B20" s="5">
        <f t="shared" si="1"/>
        <v>0.17083614418842302</v>
      </c>
      <c r="C20" s="5">
        <f t="shared" si="2"/>
        <v>0.16337879089603685</v>
      </c>
      <c r="D20" s="5">
        <f t="shared" si="3"/>
        <v>0.20707804355555959</v>
      </c>
      <c r="E20" s="5">
        <f t="shared" si="4"/>
        <v>0.2131281539764954</v>
      </c>
      <c r="F20" s="5">
        <f t="shared" si="5"/>
        <v>0.24557886738348519</v>
      </c>
      <c r="G20" s="5"/>
      <c r="H20" s="5"/>
      <c r="I20" s="5"/>
      <c r="J20" s="5"/>
      <c r="K20" s="5"/>
      <c r="L20" s="5"/>
      <c r="M20" s="5"/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5935-2330-49F4-8E16-AF881B631B66}">
  <dimension ref="A1:C25"/>
  <sheetViews>
    <sheetView workbookViewId="0">
      <selection activeCell="C2" sqref="C2"/>
    </sheetView>
  </sheetViews>
  <sheetFormatPr defaultRowHeight="15" x14ac:dyDescent="0.25"/>
  <cols>
    <col min="1" max="1" width="41.7109375" bestFit="1" customWidth="1"/>
    <col min="2" max="2" width="16.5703125" bestFit="1" customWidth="1"/>
  </cols>
  <sheetData>
    <row r="1" spans="1:3" x14ac:dyDescent="0.25">
      <c r="A1" t="s">
        <v>48</v>
      </c>
      <c r="B1" t="s">
        <v>49</v>
      </c>
      <c r="C1" t="s">
        <v>50</v>
      </c>
    </row>
    <row r="2" spans="1:3" x14ac:dyDescent="0.25">
      <c r="A2" t="s">
        <v>3</v>
      </c>
      <c r="B2">
        <v>0.22</v>
      </c>
      <c r="C2">
        <v>19.989999999999998</v>
      </c>
    </row>
    <row r="3" spans="1:3" x14ac:dyDescent="0.25">
      <c r="A3" t="s">
        <v>2</v>
      </c>
      <c r="B3">
        <v>0.2</v>
      </c>
      <c r="C3">
        <v>9.99</v>
      </c>
    </row>
    <row r="4" spans="1:3" x14ac:dyDescent="0.25">
      <c r="A4" t="s">
        <v>21</v>
      </c>
      <c r="B4">
        <v>0.11</v>
      </c>
      <c r="C4">
        <v>39.99</v>
      </c>
    </row>
    <row r="5" spans="1:3" x14ac:dyDescent="0.25">
      <c r="A5" t="s">
        <v>24</v>
      </c>
      <c r="B5">
        <v>7.0000000000000007E-2</v>
      </c>
      <c r="C5">
        <v>99.99</v>
      </c>
    </row>
    <row r="6" spans="1:3" x14ac:dyDescent="0.25">
      <c r="A6" t="s">
        <v>9</v>
      </c>
      <c r="B6">
        <v>7.0000000000000007E-2</v>
      </c>
      <c r="C6">
        <v>89.99</v>
      </c>
    </row>
    <row r="7" spans="1:3" x14ac:dyDescent="0.25">
      <c r="A7" t="s">
        <v>1</v>
      </c>
      <c r="B7">
        <v>0.05</v>
      </c>
      <c r="C7">
        <v>119.99</v>
      </c>
    </row>
    <row r="8" spans="1:3" x14ac:dyDescent="0.25">
      <c r="A8" t="s">
        <v>13</v>
      </c>
      <c r="B8">
        <v>0.05</v>
      </c>
      <c r="C8">
        <v>109.99</v>
      </c>
    </row>
    <row r="9" spans="1:3" x14ac:dyDescent="0.25">
      <c r="A9" t="s">
        <v>16</v>
      </c>
      <c r="B9">
        <v>0.05</v>
      </c>
      <c r="C9">
        <v>89.99</v>
      </c>
    </row>
    <row r="10" spans="1:3" x14ac:dyDescent="0.25">
      <c r="A10" t="s">
        <v>8</v>
      </c>
      <c r="B10">
        <v>0.04</v>
      </c>
      <c r="C10">
        <v>59.99</v>
      </c>
    </row>
    <row r="11" spans="1:3" x14ac:dyDescent="0.25">
      <c r="A11" t="s">
        <v>14</v>
      </c>
      <c r="B11">
        <v>0.04</v>
      </c>
      <c r="C11">
        <v>9.99</v>
      </c>
    </row>
    <row r="12" spans="1:3" x14ac:dyDescent="0.25">
      <c r="A12" t="s">
        <v>23</v>
      </c>
      <c r="B12">
        <v>0.03</v>
      </c>
      <c r="C12">
        <v>49.99</v>
      </c>
    </row>
    <row r="13" spans="1:3" x14ac:dyDescent="0.25">
      <c r="A13" t="s">
        <v>6</v>
      </c>
      <c r="B13">
        <v>0.02</v>
      </c>
      <c r="C13">
        <v>199.99</v>
      </c>
    </row>
    <row r="14" spans="1:3" x14ac:dyDescent="0.25">
      <c r="A14" t="s">
        <v>20</v>
      </c>
      <c r="B14">
        <v>1.4999999999999999E-2</v>
      </c>
      <c r="C14">
        <v>259.99</v>
      </c>
    </row>
    <row r="15" spans="1:3" x14ac:dyDescent="0.25">
      <c r="A15" t="s">
        <v>11</v>
      </c>
      <c r="B15">
        <v>0.01</v>
      </c>
      <c r="C15">
        <v>29.99</v>
      </c>
    </row>
    <row r="16" spans="1:3" x14ac:dyDescent="0.25">
      <c r="A16" t="s">
        <v>12</v>
      </c>
      <c r="B16">
        <v>8.0999999999999961E-3</v>
      </c>
      <c r="C16">
        <v>19.989999999999998</v>
      </c>
    </row>
    <row r="17" spans="1:3" x14ac:dyDescent="0.25">
      <c r="A17" t="s">
        <v>10</v>
      </c>
      <c r="B17">
        <v>6.0000000000000001E-3</v>
      </c>
      <c r="C17">
        <v>29.99</v>
      </c>
    </row>
    <row r="18" spans="1:3" x14ac:dyDescent="0.25">
      <c r="A18" t="s">
        <v>5</v>
      </c>
      <c r="B18">
        <v>4.0000000000000001E-3</v>
      </c>
      <c r="C18">
        <v>19.989999999999998</v>
      </c>
    </row>
    <row r="19" spans="1:3" x14ac:dyDescent="0.25">
      <c r="A19" t="s">
        <v>18</v>
      </c>
      <c r="B19">
        <v>3.0000000000000001E-3</v>
      </c>
      <c r="C19">
        <v>59.99</v>
      </c>
    </row>
    <row r="20" spans="1:3" x14ac:dyDescent="0.25">
      <c r="A20" t="s">
        <v>19</v>
      </c>
      <c r="B20">
        <v>1E-3</v>
      </c>
      <c r="C20">
        <v>9.99</v>
      </c>
    </row>
    <row r="21" spans="1:3" x14ac:dyDescent="0.25">
      <c r="A21" t="s">
        <v>7</v>
      </c>
      <c r="B21">
        <v>1E-3</v>
      </c>
      <c r="C21">
        <v>299.99</v>
      </c>
    </row>
    <row r="22" spans="1:3" x14ac:dyDescent="0.25">
      <c r="A22" t="s">
        <v>17</v>
      </c>
      <c r="B22">
        <v>1E-3</v>
      </c>
      <c r="C22">
        <v>159.99</v>
      </c>
    </row>
    <row r="23" spans="1:3" x14ac:dyDescent="0.25">
      <c r="A23" t="s">
        <v>22</v>
      </c>
      <c r="B23">
        <v>5.0000000000000001E-4</v>
      </c>
      <c r="C23">
        <v>199.99</v>
      </c>
    </row>
    <row r="24" spans="1:3" x14ac:dyDescent="0.25">
      <c r="A24" t="s">
        <v>15</v>
      </c>
      <c r="B24">
        <v>2.0000000000000001E-4</v>
      </c>
      <c r="C24">
        <v>199.99</v>
      </c>
    </row>
    <row r="25" spans="1:3" x14ac:dyDescent="0.25">
      <c r="A25" t="s">
        <v>4</v>
      </c>
      <c r="B25">
        <v>2.0000000000000001E-4</v>
      </c>
      <c r="C25">
        <v>159.99</v>
      </c>
    </row>
  </sheetData>
  <autoFilter ref="A1:B1" xr:uid="{B4B65935-2330-49F4-8E16-AF881B631B66}">
    <sortState xmlns:xlrd2="http://schemas.microsoft.com/office/spreadsheetml/2017/richdata2" ref="A2:B25">
      <sortCondition descending="1" ref="B1"/>
    </sortState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D15" sqref="D15"/>
    </sheetView>
  </sheetViews>
  <sheetFormatPr defaultRowHeight="15" x14ac:dyDescent="0.25"/>
  <cols>
    <col min="1" max="1" width="5" style="2" bestFit="1" customWidth="1"/>
    <col min="2" max="2" width="11.42578125" bestFit="1" customWidth="1"/>
    <col min="5" max="5" width="14.42578125" bestFit="1" customWidth="1"/>
  </cols>
  <sheetData>
    <row r="1" spans="1:2" x14ac:dyDescent="0.25">
      <c r="A1" s="1" t="s">
        <v>51</v>
      </c>
      <c r="B1" s="1" t="s">
        <v>0</v>
      </c>
    </row>
    <row r="2" spans="1:2" x14ac:dyDescent="0.25">
      <c r="A2">
        <v>2015</v>
      </c>
      <c r="B2">
        <v>17493</v>
      </c>
    </row>
    <row r="3" spans="1:2" x14ac:dyDescent="0.25">
      <c r="A3">
        <v>2016</v>
      </c>
      <c r="B3">
        <v>18063</v>
      </c>
    </row>
    <row r="4" spans="1:2" x14ac:dyDescent="0.25">
      <c r="A4">
        <v>2017</v>
      </c>
      <c r="B4">
        <v>18832</v>
      </c>
    </row>
    <row r="5" spans="1:2" x14ac:dyDescent="0.25">
      <c r="A5">
        <v>2018</v>
      </c>
      <c r="B5">
        <v>17902</v>
      </c>
    </row>
    <row r="6" spans="1:2" x14ac:dyDescent="0.25">
      <c r="A6">
        <v>2019</v>
      </c>
      <c r="B6">
        <v>19014</v>
      </c>
    </row>
    <row r="7" spans="1:2" x14ac:dyDescent="0.25">
      <c r="A7">
        <v>2020</v>
      </c>
      <c r="B7">
        <v>17840</v>
      </c>
    </row>
    <row r="8" spans="1:2" x14ac:dyDescent="0.25">
      <c r="A8">
        <v>2021</v>
      </c>
      <c r="B8">
        <v>18648</v>
      </c>
    </row>
    <row r="9" spans="1:2" x14ac:dyDescent="0.25">
      <c r="A9">
        <v>2022</v>
      </c>
      <c r="B9">
        <v>18542</v>
      </c>
    </row>
    <row r="10" spans="1:2" x14ac:dyDescent="0.25">
      <c r="A10">
        <v>2023</v>
      </c>
      <c r="B10">
        <v>8375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VENDA_01-2015_A_05-2023</vt:lpstr>
      <vt:lpstr>PARTICIPACAO_BASE_FECOMERCIO</vt:lpstr>
      <vt:lpstr>PRODUTOS</vt:lpstr>
      <vt:lpstr>BASE_GERADA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Jefferson Sanches Leme</cp:lastModifiedBy>
  <dcterms:created xsi:type="dcterms:W3CDTF">2023-09-07T18:25:37Z</dcterms:created>
  <dcterms:modified xsi:type="dcterms:W3CDTF">2023-09-11T17:06:59Z</dcterms:modified>
</cp:coreProperties>
</file>